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D2D1F56-2C37-4E13-AA0F-139266EA8941}" xr6:coauthVersionLast="47" xr6:coauthVersionMax="47" xr10:uidLastSave="{00000000-0000-0000-0000-000000000000}"/>
  <bookViews>
    <workbookView xWindow="-110" yWindow="-110" windowWidth="25820" windowHeight="13900" xr2:uid="{0F05AE94-1B42-48C1-98A8-EDBBBC304AB4}"/>
  </bookViews>
  <sheets>
    <sheet name="Pre rented" sheetId="6" r:id="rId1"/>
    <sheet name="Others" sheetId="5" r:id="rId2"/>
    <sheet name="Sheet1 (3)" sheetId="4" state="hidden" r:id="rId3"/>
    <sheet name="Sheet1 (2)" sheetId="2" state="hidden" r:id="rId4"/>
    <sheet name="Sheet3" sheetId="3" state="hidden" r:id="rId5"/>
    <sheet name="Sheet1" sheetId="1" state="hidden" r:id="rId6"/>
  </sheets>
  <definedNames>
    <definedName name="_xlnm._FilterDatabase" localSheetId="1" hidden="1">Others!$A$1:$E$27</definedName>
    <definedName name="_xlnm._FilterDatabase" localSheetId="0">'Pre rented'!$A$1:$N$12</definedName>
    <definedName name="_xlnm._FilterDatabase" localSheetId="5" hidden="1">Sheet1!$A$1:$J$126</definedName>
    <definedName name="_xlnm._FilterDatabase" localSheetId="3" hidden="1">'Sheet1 (2)'!$A$7:$K$47</definedName>
    <definedName name="_xlnm._FilterDatabase" localSheetId="2" hidden="1">'Sheet1 (3)'!$A$1:$N$94</definedName>
    <definedName name="_xlnm.Criteria" localSheetId="1">Others!#REF!</definedName>
    <definedName name="_xlnm.Criteria" localSheetId="0">'Pre rented'!#REF!</definedName>
    <definedName name="_xlnm.Criteria" localSheetId="3">'Sheet1 (2)'!$A$1:$L$2</definedName>
    <definedName name="_xlnm.Criteria" localSheetId="2">'Sheet1 (3)'!#REF!</definedName>
    <definedName name="_xlnm.Extract" localSheetId="1">Others!#REF!</definedName>
    <definedName name="_xlnm.Extract" localSheetId="0">'Pre rented'!#REF!</definedName>
    <definedName name="_xlnm.Extract" localSheetId="3">'Sheet1 (2)'!#REF!</definedName>
    <definedName name="_xlnm.Extract" localSheetId="2">'Sheet1 (3)'!#REF!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6" l="1"/>
  <c r="F2" i="6"/>
  <c r="F12" i="6"/>
  <c r="F11" i="6"/>
  <c r="F10" i="6"/>
  <c r="F9" i="6"/>
  <c r="F8" i="6"/>
  <c r="F7" i="6"/>
  <c r="F6" i="6"/>
  <c r="F5" i="6"/>
  <c r="E39" i="4" l="1"/>
  <c r="K25" i="4"/>
  <c r="K24" i="4"/>
  <c r="E25" i="4"/>
  <c r="E24" i="4"/>
  <c r="K21" i="4"/>
  <c r="E21" i="4"/>
  <c r="K12" i="4"/>
  <c r="E12" i="4"/>
  <c r="K10" i="4"/>
  <c r="E10" i="4"/>
  <c r="K8" i="4"/>
  <c r="E8" i="4"/>
  <c r="K2" i="4"/>
  <c r="E2" i="4"/>
  <c r="K3" i="4"/>
  <c r="E3" i="4"/>
  <c r="K37" i="4"/>
  <c r="K36" i="4"/>
  <c r="K35" i="4"/>
  <c r="K34" i="4"/>
  <c r="K33" i="4"/>
  <c r="K32" i="4"/>
  <c r="K31" i="4"/>
  <c r="K30" i="4"/>
  <c r="K29" i="4"/>
  <c r="K38" i="4"/>
  <c r="K54" i="4"/>
  <c r="K53" i="4"/>
  <c r="K52" i="4"/>
  <c r="K51" i="4"/>
  <c r="K50" i="4"/>
  <c r="K49" i="4"/>
  <c r="E54" i="4"/>
  <c r="E53" i="4"/>
  <c r="E49" i="4"/>
  <c r="E50" i="4"/>
  <c r="E51" i="4"/>
  <c r="E52" i="4"/>
  <c r="K15" i="4"/>
  <c r="E15" i="4"/>
  <c r="K11" i="4"/>
  <c r="E11" i="4"/>
  <c r="K23" i="4"/>
  <c r="E23" i="4"/>
  <c r="E61" i="4"/>
  <c r="E60" i="4"/>
  <c r="E59" i="4"/>
  <c r="E58" i="4"/>
  <c r="E57" i="4"/>
  <c r="E56" i="4"/>
  <c r="E55" i="4"/>
  <c r="E48" i="4"/>
  <c r="E47" i="4"/>
  <c r="E46" i="4"/>
  <c r="E45" i="4"/>
  <c r="E44" i="4"/>
  <c r="E43" i="4"/>
  <c r="E42" i="4"/>
  <c r="E41" i="4"/>
  <c r="E40" i="4"/>
  <c r="E38" i="4"/>
  <c r="E37" i="4"/>
  <c r="E36" i="4"/>
  <c r="E35" i="4"/>
  <c r="E34" i="4"/>
  <c r="E33" i="4"/>
  <c r="E32" i="4"/>
  <c r="E31" i="4"/>
  <c r="E30" i="4"/>
  <c r="E28" i="4"/>
  <c r="E29" i="4"/>
  <c r="E27" i="4"/>
  <c r="E26" i="4"/>
  <c r="E22" i="4"/>
  <c r="E20" i="4"/>
  <c r="E19" i="4"/>
  <c r="E18" i="4"/>
  <c r="E17" i="4"/>
  <c r="E16" i="4"/>
  <c r="E14" i="4"/>
  <c r="E13" i="4"/>
  <c r="E9" i="4"/>
  <c r="E7" i="4"/>
  <c r="E6" i="4"/>
  <c r="E5" i="4"/>
  <c r="E4" i="4"/>
  <c r="K47" i="4"/>
  <c r="K26" i="4"/>
  <c r="K27" i="4"/>
  <c r="K22" i="4"/>
  <c r="K61" i="4"/>
  <c r="K60" i="4"/>
  <c r="K59" i="4"/>
  <c r="K58" i="4"/>
  <c r="K57" i="4"/>
  <c r="K56" i="4"/>
  <c r="K55" i="4"/>
  <c r="K48" i="4"/>
  <c r="K46" i="4"/>
  <c r="K45" i="4"/>
  <c r="K44" i="4"/>
  <c r="K42" i="4"/>
  <c r="K28" i="4"/>
  <c r="K20" i="4"/>
  <c r="K19" i="4"/>
  <c r="K18" i="4"/>
  <c r="K17" i="4"/>
  <c r="K16" i="4"/>
  <c r="K14" i="4"/>
  <c r="K13" i="4"/>
  <c r="K9" i="4"/>
  <c r="K7" i="4"/>
  <c r="K6" i="4"/>
  <c r="K5" i="4"/>
  <c r="K4" i="4"/>
  <c r="K47" i="2"/>
  <c r="K46" i="2"/>
  <c r="K45" i="2"/>
  <c r="K44" i="2"/>
  <c r="K43" i="2"/>
  <c r="K42" i="2"/>
  <c r="K41" i="2"/>
  <c r="K40" i="2"/>
  <c r="K39" i="2"/>
  <c r="K38" i="2"/>
  <c r="K37" i="2"/>
  <c r="K35" i="2"/>
  <c r="K32" i="2"/>
  <c r="K31" i="2"/>
  <c r="K28" i="2"/>
  <c r="K27" i="2"/>
  <c r="K26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</calcChain>
</file>

<file path=xl/sharedStrings.xml><?xml version="1.0" encoding="utf-8"?>
<sst xmlns="http://schemas.openxmlformats.org/spreadsheetml/2006/main" count="1885" uniqueCount="255">
  <si>
    <t>PropertyID</t>
  </si>
  <si>
    <t>Owner</t>
  </si>
  <si>
    <t>Property Type</t>
  </si>
  <si>
    <t>Property Status</t>
  </si>
  <si>
    <t>Block Number</t>
  </si>
  <si>
    <t>Plot Number</t>
  </si>
  <si>
    <t>Floor</t>
  </si>
  <si>
    <t>Front/ Rear</t>
  </si>
  <si>
    <t>Square Feet</t>
  </si>
  <si>
    <t>Room Number</t>
  </si>
  <si>
    <t>KKS BUSINESS SERVICES PRIVATE LIMITED</t>
  </si>
  <si>
    <t>Conventional</t>
  </si>
  <si>
    <t>1</t>
  </si>
  <si>
    <t>2Second</t>
  </si>
  <si>
    <t>REAR</t>
  </si>
  <si>
    <t>201</t>
  </si>
  <si>
    <t>SAB PROPERTIES PRIVATE LIMITED</t>
  </si>
  <si>
    <t>06</t>
  </si>
  <si>
    <t>1First</t>
  </si>
  <si>
    <t>101</t>
  </si>
  <si>
    <t>KKAS BUILDWELL PRIVATE LIMITED</t>
  </si>
  <si>
    <t>Working</t>
  </si>
  <si>
    <t>07</t>
  </si>
  <si>
    <t>3Third</t>
  </si>
  <si>
    <t>FRONT</t>
  </si>
  <si>
    <t>301</t>
  </si>
  <si>
    <t>401</t>
  </si>
  <si>
    <t>ARCHANA GUPTA</t>
  </si>
  <si>
    <t>09</t>
  </si>
  <si>
    <t>CORPORATE BUILDCON LLP</t>
  </si>
  <si>
    <t>RC</t>
  </si>
  <si>
    <t>10</t>
  </si>
  <si>
    <t>0Basement</t>
  </si>
  <si>
    <t>B01</t>
  </si>
  <si>
    <t>SANJAY GUPTA HUF</t>
  </si>
  <si>
    <t>11</t>
  </si>
  <si>
    <t>001</t>
  </si>
  <si>
    <t>0Ground</t>
  </si>
  <si>
    <t>002</t>
  </si>
  <si>
    <t>16</t>
  </si>
  <si>
    <t>004</t>
  </si>
  <si>
    <t>003</t>
  </si>
  <si>
    <t>SANJAY GUPTA</t>
  </si>
  <si>
    <t>HP Market</t>
  </si>
  <si>
    <t>21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</si>
  <si>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</si>
  <si>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</si>
  <si>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</si>
  <si>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</si>
  <si>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</si>
  <si>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</si>
  <si>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</si>
  <si>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</si>
  <si>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</si>
  <si>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</si>
  <si>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</si>
  <si>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</si>
  <si>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</si>
  <si>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</si>
  <si>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</si>
  <si>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</si>
  <si>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</si>
  <si>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</si>
  <si>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</si>
  <si>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</si>
  <si>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</si>
  <si>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</si>
  <si>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</si>
  <si>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</si>
  <si>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128</t>
  </si>
  <si>
    <t>129</t>
  </si>
  <si>
    <t>130</t>
  </si>
  <si>
    <t>Cowork</t>
  </si>
  <si>
    <t>22</t>
  </si>
  <si>
    <t>SG</t>
  </si>
  <si>
    <t>CLLP</t>
  </si>
  <si>
    <t>KKS</t>
  </si>
  <si>
    <t>3</t>
  </si>
  <si>
    <t>02</t>
  </si>
  <si>
    <t>04</t>
  </si>
  <si>
    <t>4Fourth</t>
  </si>
  <si>
    <t>501</t>
  </si>
  <si>
    <t>08</t>
  </si>
  <si>
    <t>Maintenance</t>
  </si>
  <si>
    <t>203</t>
  </si>
  <si>
    <t>Others</t>
  </si>
  <si>
    <t>306</t>
  </si>
  <si>
    <t>0Mezzanine</t>
  </si>
  <si>
    <t>M01</t>
  </si>
  <si>
    <t>310</t>
  </si>
  <si>
    <t>SAB SECURITIES &amp; FINLEASE PRIVATE LIMITED</t>
  </si>
  <si>
    <t>309</t>
  </si>
  <si>
    <t>307</t>
  </si>
  <si>
    <t>305</t>
  </si>
  <si>
    <t>202</t>
  </si>
  <si>
    <t>304</t>
  </si>
  <si>
    <t>303</t>
  </si>
  <si>
    <t>SAB BUSINESS SERVICES INDIA PRIVATE LIMITED</t>
  </si>
  <si>
    <t>302</t>
  </si>
  <si>
    <t>308</t>
  </si>
  <si>
    <t>0</t>
  </si>
  <si>
    <t>VAIBHAV BUILDMART PRIVATE LIMITED</t>
  </si>
  <si>
    <t>12</t>
  </si>
  <si>
    <t>KUSHAGRA GUPTA</t>
  </si>
  <si>
    <t>B06</t>
  </si>
  <si>
    <t>204</t>
  </si>
  <si>
    <t>BAL KISHAN GUPTA</t>
  </si>
  <si>
    <t>B02</t>
  </si>
  <si>
    <t>B03</t>
  </si>
  <si>
    <t>B04</t>
  </si>
  <si>
    <t>B05</t>
  </si>
  <si>
    <t>205</t>
  </si>
  <si>
    <t>206</t>
  </si>
  <si>
    <t>14</t>
  </si>
  <si>
    <t>4</t>
  </si>
  <si>
    <t>M02</t>
  </si>
  <si>
    <t>SANJAY GUPTA AND OTHERS</t>
  </si>
  <si>
    <t>Disputed (Court case)</t>
  </si>
  <si>
    <t>Adv</t>
  </si>
  <si>
    <t>No. of Seats</t>
  </si>
  <si>
    <t>2-3</t>
  </si>
  <si>
    <t>4-5</t>
  </si>
  <si>
    <t>&gt;=10</t>
  </si>
  <si>
    <t>&lt;=20</t>
  </si>
  <si>
    <t>Lift</t>
  </si>
  <si>
    <t>No</t>
  </si>
  <si>
    <t>Can</t>
  </si>
  <si>
    <t>Yes</t>
  </si>
  <si>
    <t>Raw</t>
  </si>
  <si>
    <t>Furnished</t>
  </si>
  <si>
    <t>Unfurnished/ Furnished</t>
  </si>
  <si>
    <t>Addres</t>
  </si>
  <si>
    <t>Prefered Use</t>
  </si>
  <si>
    <t>Office</t>
  </si>
  <si>
    <t>Office cum Godown</t>
  </si>
  <si>
    <t>Godown</t>
  </si>
  <si>
    <t>Showroom</t>
  </si>
  <si>
    <t>Serviced Office</t>
  </si>
  <si>
    <t>Proposed No. of Seats</t>
  </si>
  <si>
    <t>https://drive.google.com/file/d/1kjTZ5dkbUifKXbAFP0tIaAJGd36zvgw7/view?usp=sharing</t>
  </si>
  <si>
    <t>https://drive.google.com/file/d/1R6zoRJj30KcbGnNi--orCmR7kWuMlIUc/view?usp=sharing</t>
  </si>
  <si>
    <t>https://drive.google.com/file/d/1a1f48cagvYBhlPckVC-BiMfREmNOiEwY/view?usp=sharing</t>
  </si>
  <si>
    <t>Flor plan</t>
  </si>
  <si>
    <t>https://drive.google.com/file/d/1ItPFRDYMbJkIveoVH21XT2dENSYlhN7O/view?usp=sharing</t>
  </si>
  <si>
    <t>https://drive.google.com/file/d/15upNQ-_l-VPcj_M2ACLpbNr8F9BoJAIE/view?usp=sharing</t>
  </si>
  <si>
    <t>Proposal</t>
  </si>
  <si>
    <t>https://drive.google.com/file/d/1o0IzLIxKheZNItJUIQOCxa3fgtCi792U/view?usp=sharing</t>
  </si>
  <si>
    <t>https://drive.google.com/file/d/1eoTDKzF6LQjH1tXY2-gYdIroTS4EVU31/view?usp=sharing</t>
  </si>
  <si>
    <t>https://drive.google.com/file/d/14a_m-OrUPW8crgXEN7IcQX9iS31ikBRj/view?usp=sharing</t>
  </si>
  <si>
    <t>https://drive.google.com/file/d/1oetNHg7FTzRVg3Oc8SB0GNURvQZaCDsH/view?usp=sharing</t>
  </si>
  <si>
    <t>https://drive.google.com/file/d/1GtdVaZprsSKd0GlGVlbzx8ZWq2WUvbWV/view?usp=sharing</t>
  </si>
  <si>
    <t>https://drive.google.com/file/d/1J-3gWmghe5J7gnYm9xE2ur3LlCFjWt7K/view?usp=sharing</t>
  </si>
  <si>
    <t>https://drive.google.com/file/d/1D1S796cpNJur_h80ws3ctSxlKYjiS-8T/view?usp=sharing</t>
  </si>
  <si>
    <t>https://drive.google.com/file/d/1CBrAw-Zls-T05q1uiNKwamf0KZ5xCae5/view?usp=sharing</t>
  </si>
  <si>
    <t>https://drive.google.com/file/d/1M7zSZVbOcCXScfntSCylyNv52P6_QFIS/view?usp=sharing</t>
  </si>
  <si>
    <t>https://drive.google.com/file/d/1i-WgxduJQhbvKmlRJe2whiIxC25yolJB/view?usp=sharing</t>
  </si>
  <si>
    <t>https://drive.google.com/file/d/1HJ037jDicn_Kh9ya3YQuKT8aPCzh1rNk/view?usp=sharing</t>
  </si>
  <si>
    <t>https://drive.google.com/file/d/1R5neXzGocBCSKo-FSBFoLBbltdlOJMaT/view?usp=sharing</t>
  </si>
  <si>
    <t>https://drive.google.com/file/d/1QGZ7msIqqzpHGXcq-y0UkEN9y1BXjxV1/view?usp=sharing</t>
  </si>
  <si>
    <t>https://drive.google.com/file/d/1M-E2Y67k0Xmc77Matvcf8TWZ8HRgNvWV/view?usp=sharing</t>
  </si>
  <si>
    <t>https://drive.google.com/file/d/1vgek-QHLAQiuq1OWUQMKQ6GzR-_0DhDm/view?usp=sharing</t>
  </si>
  <si>
    <t>Basement</t>
  </si>
  <si>
    <t>Ground</t>
  </si>
  <si>
    <t>Mezannine</t>
  </si>
  <si>
    <t>First</t>
  </si>
  <si>
    <t>Second</t>
  </si>
  <si>
    <t>Third</t>
  </si>
  <si>
    <t>Available</t>
  </si>
  <si>
    <t>Y</t>
  </si>
  <si>
    <t>N</t>
  </si>
  <si>
    <t>Shop</t>
  </si>
  <si>
    <t>Property ID</t>
  </si>
  <si>
    <t>160-200</t>
  </si>
  <si>
    <t>50-150</t>
  </si>
  <si>
    <t>Office/ Serviced Office</t>
  </si>
  <si>
    <t>300-500</t>
  </si>
  <si>
    <t>2000-2600</t>
  </si>
  <si>
    <t>4000-4600</t>
  </si>
  <si>
    <t>Kirti Nagar</t>
  </si>
  <si>
    <t>7000/-</t>
  </si>
  <si>
    <t>Location</t>
  </si>
  <si>
    <t>asaf ali road</t>
  </si>
  <si>
    <t>East of Kailash</t>
  </si>
  <si>
    <t>Connaught Place</t>
  </si>
  <si>
    <t>Karol Bagh</t>
  </si>
  <si>
    <t>Okhla</t>
  </si>
  <si>
    <t>MG Road</t>
  </si>
  <si>
    <t>Lajpat Nagar</t>
  </si>
  <si>
    <t>Address/ Caption</t>
  </si>
  <si>
    <t>Rent</t>
  </si>
  <si>
    <t>Roi</t>
  </si>
  <si>
    <t>SD</t>
  </si>
  <si>
    <t>lockin</t>
  </si>
  <si>
    <t>tenure</t>
  </si>
  <si>
    <t>Lease commencement</t>
  </si>
  <si>
    <t>Escalation</t>
  </si>
  <si>
    <t>Furnishing</t>
  </si>
  <si>
    <t>Sale price</t>
  </si>
  <si>
    <t>Tenant</t>
  </si>
  <si>
    <t>Mid size Office for 6-10 pax in Central Delhi for Growing teams</t>
  </si>
  <si>
    <t>Compact Office for upto 5-6 pax in Central Delhi suitable for small team/ early stage start-ups</t>
  </si>
  <si>
    <t>Central Delhi | Managed Office Space customizable as per team requirement</t>
  </si>
  <si>
    <t>Office in Central Delhi for upto 60 pax - Customisable</t>
  </si>
  <si>
    <t>Office in Central Delhi for upto 120 pax - Customisable</t>
  </si>
  <si>
    <t>Managed Office in Connaught Place</t>
  </si>
  <si>
    <t>Office Space in Main DB Road suitable for professionals</t>
  </si>
  <si>
    <t>Raw Office space in Time Tower, MG Road</t>
  </si>
  <si>
    <t>Managed Office in JMD Tower, MG Road</t>
  </si>
  <si>
    <t>Mid size Office for 10-15 pax in Central Delhi</t>
  </si>
  <si>
    <t>Warehouse space in Central Delhi (near Kamla market - Transport)</t>
  </si>
  <si>
    <t>Warehouse Space in Central Delhi | Independent Entry</t>
  </si>
  <si>
    <t>Godown Space in Central Delhi | Ample Parking Space</t>
  </si>
  <si>
    <t>Independent Floor (Basement) suitable for warehousing</t>
  </si>
  <si>
    <t>Showroom Space in Central Delhi (near Ajmeri Gate)</t>
  </si>
  <si>
    <t>Showroom Space in Central Delhi (Main Asaf Ali Road Market)</t>
  </si>
  <si>
    <t>Showroom Space in Central Delhi | Suitable for Retail Chain</t>
  </si>
  <si>
    <t>Showroom Space in Connaught Place in Inner circle | Suitable for Retail Brand</t>
  </si>
  <si>
    <t>Showroom Space in Karol Bagh Market</t>
  </si>
  <si>
    <t>Showroom Space in Okhla Phase 1 (Suitable for Automobile Showroom)</t>
  </si>
  <si>
    <t>Showroom Space in Lajpat Nagar Cloth Market</t>
  </si>
  <si>
    <t>AXIS BANK LIMITED</t>
  </si>
  <si>
    <t>AQUILA ORGANICS PRIVATE LIMITED</t>
  </si>
  <si>
    <t>GOSTOPS HOSPITALITY PRIVATE LIMITED</t>
  </si>
  <si>
    <t>SCOOTSY LOGISTICS PRIVATE LIMITED</t>
  </si>
  <si>
    <t>DP JAGAN &amp; BROS</t>
  </si>
  <si>
    <t>Ground Floor</t>
  </si>
  <si>
    <t>First Floor</t>
  </si>
  <si>
    <t>Basement Floor</t>
  </si>
  <si>
    <t>3 yrs</t>
  </si>
  <si>
    <t>1 yr</t>
  </si>
  <si>
    <t>15% every 3 yrs</t>
  </si>
  <si>
    <t>6% every yr</t>
  </si>
  <si>
    <t>Pre Rented Private Bank for Sale in Central Delhi</t>
  </si>
  <si>
    <t>Pre Rented Private Office for Sale in Central Delhi</t>
  </si>
  <si>
    <t>Pre Rented Hotel Chain for Sale in Central Delhi</t>
  </si>
  <si>
    <t>Pre Rented Dark Store for Sale in Central Delhi</t>
  </si>
  <si>
    <t>Pre Rented Godown Space (E commerce operator) for Sale in Central Delhi</t>
  </si>
  <si>
    <t>Pre Rented Godown Space (Private Company) for Sale in Central Delhi</t>
  </si>
  <si>
    <t>Pre Rented Private Office for Sale in Connaught Place</t>
  </si>
  <si>
    <t>5% every yr</t>
  </si>
  <si>
    <t>DG POWER LIMITED</t>
  </si>
  <si>
    <t>Pre Rented Building for Sale in Connaught Place</t>
  </si>
  <si>
    <t>Building</t>
  </si>
  <si>
    <t>MARKS CREATION</t>
  </si>
  <si>
    <t>Fourth Floor</t>
  </si>
  <si>
    <t>Sixth Floor</t>
  </si>
  <si>
    <t>INSTANT PROCUREMENT SERVICES PRIVATE LIMITED</t>
  </si>
  <si>
    <t>VIRSAD LOGISTICS PRIVATE LIMITED</t>
  </si>
  <si>
    <t>MANAV OVERSEAS</t>
  </si>
  <si>
    <t>HOCHIKI EUROPE (U.K) LTD INDIA</t>
  </si>
  <si>
    <t>Pre Rented Private Office for Sale in Time Tower, MG Road</t>
  </si>
  <si>
    <t>22workspace-01 | Central Delhi, Asaf Ali Road</t>
  </si>
  <si>
    <t>22workspace-02 | Central Delhi, Asaf Ali Road</t>
  </si>
  <si>
    <t>22workspace-03 | South Delhi, East of Kailash</t>
  </si>
  <si>
    <t>22workspace-04 | West Delhi, Kirti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</si>
</sst>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51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/>
    </xf>
    <xf numFmtId="0" fontId="1" fillId="0" borderId="2" xfId="1" applyFont="1" applyBorder="1"/>
    <xf numFmtId="0" fontId="1" fillId="0" borderId="3" xfId="1" applyFont="1" applyBorder="1"/>
    <xf numFmtId="0" fontId="1" fillId="0" borderId="2" xfId="1" quotePrefix="1" applyFont="1" applyBorder="1"/>
    <xf numFmtId="0" fontId="3" fillId="0" borderId="2" xfId="1" applyFont="1" applyBorder="1"/>
    <xf numFmtId="0" fontId="0" fillId="0" borderId="0" xfId="0" applyAlignment="1">
      <alignment horizontal="left"/>
    </xf>
    <xf numFmtId="0" fontId="1" fillId="2" borderId="4" xfId="1" applyFont="1" applyFill="1" applyBorder="1" applyAlignment="1">
      <alignment horizontal="left"/>
    </xf>
    <xf numFmtId="0" fontId="1" fillId="0" borderId="3" xfId="1" applyFont="1" applyBorder="1" applyAlignment="1">
      <alignment horizontal="left"/>
    </xf>
    <xf numFmtId="16" fontId="1" fillId="0" borderId="3" xfId="1" quotePrefix="1" applyNumberFormat="1" applyFont="1" applyBorder="1" applyAlignment="1">
      <alignment horizontal="left"/>
    </xf>
    <xf numFmtId="0" fontId="1" fillId="2" borderId="5" xfId="1" applyFont="1" applyFill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16" fontId="1" fillId="0" borderId="5" xfId="1" quotePrefix="1" applyNumberFormat="1" applyFont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4" fillId="0" borderId="5" xfId="2" applyBorder="1" applyAlignment="1">
      <alignment horizontal="center" vertical="center" wrapText="1"/>
    </xf>
    <xf numFmtId="0" fontId="0" fillId="0" borderId="5" xfId="0" applyBorder="1" applyAlignment="1">
      <alignment wrapText="1"/>
    </xf>
    <xf numFmtId="3" fontId="0" fillId="0" borderId="0" xfId="0" applyNumberFormat="1"/>
    <xf numFmtId="3" fontId="1" fillId="0" borderId="5" xfId="1" applyNumberFormat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1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6" xfId="1" applyFont="1" applyFill="1" applyBorder="1" applyAlignment="1">
      <alignment horizontal="center" wrapText="1"/>
    </xf>
    <xf numFmtId="0" fontId="3" fillId="2" borderId="5" xfId="1" applyFont="1" applyFill="1" applyBorder="1" applyAlignment="1">
      <alignment horizontal="center" vertical="center" wrapText="1"/>
    </xf>
    <xf numFmtId="3" fontId="1" fillId="2" borderId="5" xfId="1" applyNumberFormat="1" applyFont="1" applyFill="1" applyBorder="1" applyAlignment="1">
      <alignment horizontal="center" vertical="center" wrapText="1"/>
    </xf>
    <xf numFmtId="0" fontId="1" fillId="0" borderId="0" xfId="1" applyFont="1" applyFill="1" applyBorder="1" applyAlignment="1">
      <alignment horizontal="center" vertical="center"/>
    </xf>
    <xf numFmtId="0" fontId="1" fillId="0" borderId="5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3" fontId="1" fillId="0" borderId="5" xfId="1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0" xfId="0" applyFill="1"/>
    <xf numFmtId="0" fontId="1" fillId="0" borderId="0" xfId="1" applyFont="1" applyFill="1" applyAlignment="1">
      <alignment horizontal="center" vertical="center"/>
    </xf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3" fillId="0" borderId="0" xfId="1" applyFont="1" applyFill="1" applyBorder="1" applyAlignment="1">
      <alignment horizontal="center" vertical="center"/>
    </xf>
    <xf numFmtId="10" fontId="3" fillId="0" borderId="0" xfId="3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left" vertical="center"/>
    </xf>
    <xf numFmtId="3" fontId="3" fillId="0" borderId="0" xfId="1" applyNumberFormat="1" applyFont="1" applyFill="1" applyBorder="1" applyAlignment="1">
      <alignment horizontal="center" vertical="center"/>
    </xf>
    <xf numFmtId="14" fontId="3" fillId="0" borderId="0" xfId="1" applyNumberFormat="1" applyFont="1" applyFill="1" applyBorder="1" applyAlignment="1">
      <alignment horizontal="center" vertical="center"/>
    </xf>
    <xf numFmtId="9" fontId="3" fillId="0" borderId="0" xfId="1" applyNumberFormat="1" applyFont="1" applyFill="1" applyBorder="1" applyAlignment="1">
      <alignment horizontal="left" vertical="center"/>
    </xf>
    <xf numFmtId="3" fontId="0" fillId="0" borderId="5" xfId="0" applyNumberFormat="1" applyFill="1" applyBorder="1"/>
    <xf numFmtId="0" fontId="0" fillId="0" borderId="5" xfId="0" applyFill="1" applyBorder="1" applyAlignment="1">
      <alignment horizontal="left" wrapText="1"/>
    </xf>
    <xf numFmtId="0" fontId="0" fillId="0" borderId="5" xfId="0" applyFill="1" applyBorder="1" applyAlignment="1">
      <alignment horizontal="left"/>
    </xf>
  </cellXfs>
  <cellStyles count="4">
    <cellStyle name="Hyperlink" xfId="2" builtinId="8"/>
    <cellStyle name="Normal" xfId="0" builtinId="0"/>
    <cellStyle name="Normal_Sheet1" xfId="1" xr:uid="{FDDC3BF2-7AB7-4257-A3E1-26686BCA4266}"/>
    <cellStyle name="Percent" xfId="3" builtinId="5"/>
  </cellStyles>
  <dxfs count="0"/>
  <tableStyles count="1" defaultTableStyle="TableStyleMedium2" defaultPivotStyle="PivotStyleLight16">
    <tableStyle name="Slicer Style 1" pivot="0" table="0" count="0" xr9:uid="{61320340-3499-406E-A60B-DA86AA1B56D4}"/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HJ037jDicn_Kh9ya3YQuKT8aPCzh1rNk/view?usp=sharing" TargetMode="External"/><Relationship Id="rId13" Type="http://schemas.openxmlformats.org/officeDocument/2006/relationships/printerSettings" Target="../printerSettings/printerSettings3.bin"/><Relationship Id="rId3" Type="http://schemas.openxmlformats.org/officeDocument/2006/relationships/hyperlink" Target="https://drive.google.com/file/d/1a1f48cagvYBhlPckVC-BiMfREmNOiEwY/view?usp=sharing" TargetMode="External"/><Relationship Id="rId7" Type="http://schemas.openxmlformats.org/officeDocument/2006/relationships/hyperlink" Target="https://drive.google.com/file/d/1oetNHg7FTzRVg3Oc8SB0GNURvQZaCDsH/view?usp=sharing" TargetMode="External"/><Relationship Id="rId12" Type="http://schemas.openxmlformats.org/officeDocument/2006/relationships/hyperlink" Target="https://drive.google.com/file/d/1i-WgxduJQhbvKmlRJe2whiIxC25yolJB/view?usp=sharing" TargetMode="External"/><Relationship Id="rId2" Type="http://schemas.openxmlformats.org/officeDocument/2006/relationships/hyperlink" Target="https://drive.google.com/file/d/1R6zoRJj30KcbGnNi--orCmR7kWuMlIUc/view?usp=sharing" TargetMode="External"/><Relationship Id="rId1" Type="http://schemas.openxmlformats.org/officeDocument/2006/relationships/hyperlink" Target="https://drive.google.com/file/d/1kjTZ5dkbUifKXbAFP0tIaAJGd36zvgw7/view?usp=sharing" TargetMode="External"/><Relationship Id="rId6" Type="http://schemas.openxmlformats.org/officeDocument/2006/relationships/hyperlink" Target="https://drive.google.com/file/d/14a_m-OrUPW8crgXEN7IcQX9iS31ikBRj/view?usp=sharing" TargetMode="External"/><Relationship Id="rId11" Type="http://schemas.openxmlformats.org/officeDocument/2006/relationships/hyperlink" Target="https://drive.google.com/file/d/15upNQ-_l-VPcj_M2ACLpbNr8F9BoJAIE/view?usp=sharing" TargetMode="External"/><Relationship Id="rId5" Type="http://schemas.openxmlformats.org/officeDocument/2006/relationships/hyperlink" Target="https://drive.google.com/file/d/1eoTDKzF6LQjH1tXY2-gYdIroTS4EVU31/view?usp=sharing" TargetMode="External"/><Relationship Id="rId10" Type="http://schemas.openxmlformats.org/officeDocument/2006/relationships/hyperlink" Target="https://drive.google.com/file/d/1ItPFRDYMbJkIveoVH21XT2dENSYlhN7O/view?usp=sharing" TargetMode="External"/><Relationship Id="rId4" Type="http://schemas.openxmlformats.org/officeDocument/2006/relationships/hyperlink" Target="https://drive.google.com/file/d/1o0IzLIxKheZNItJUIQOCxa3fgtCi792U/view?usp=sharing" TargetMode="External"/><Relationship Id="rId9" Type="http://schemas.openxmlformats.org/officeDocument/2006/relationships/hyperlink" Target="https://drive.google.com/file/d/1a1f48cagvYBhlPckVC-BiMfREmNOiEwY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BB12-0FCC-46AE-B75F-CC77F07A6201}">
  <sheetPr>
    <pageSetUpPr fitToPage="1"/>
  </sheetPr>
  <dimension ref="A1:O67"/>
  <sheetViews>
    <sheetView tabSelected="1" workbookViewId="0">
      <selection activeCell="C1" sqref="C1"/>
    </sheetView>
  </sheetViews>
  <sheetFormatPr defaultRowHeight="14.5" x14ac:dyDescent="0.35"/>
  <cols>
    <col min="1" max="1" width="10.54296875" bestFit="1" customWidth="1"/>
    <col min="2" max="2" width="12.7265625" bestFit="1" customWidth="1"/>
    <col min="3" max="3" width="61.08984375" style="7" bestFit="1" customWidth="1"/>
    <col min="4" max="4" width="7.7265625" bestFit="1" customWidth="1"/>
    <col min="5" max="5" width="6.81640625" style="7" bestFit="1" customWidth="1"/>
    <col min="6" max="6" width="8.7265625" bestFit="1" customWidth="1"/>
    <col min="7" max="8" width="6.81640625" bestFit="1" customWidth="1"/>
    <col min="9" max="9" width="10.08984375" bestFit="1" customWidth="1"/>
    <col min="10" max="11" width="6.81640625" bestFit="1" customWidth="1"/>
    <col min="12" max="12" width="8.81640625" bestFit="1" customWidth="1"/>
    <col min="13" max="14" width="6.81640625" bestFit="1" customWidth="1"/>
  </cols>
  <sheetData>
    <row r="1" spans="1:15" s="16" customFormat="1" x14ac:dyDescent="0.35">
      <c r="A1" s="11" t="s">
        <v>171</v>
      </c>
      <c r="B1" s="11" t="s">
        <v>180</v>
      </c>
      <c r="C1" s="15" t="s">
        <v>188</v>
      </c>
      <c r="D1" s="37" t="s">
        <v>189</v>
      </c>
      <c r="E1" s="39" t="s">
        <v>6</v>
      </c>
      <c r="F1" s="37" t="s">
        <v>191</v>
      </c>
      <c r="G1" s="37" t="s">
        <v>192</v>
      </c>
      <c r="H1" s="37" t="s">
        <v>193</v>
      </c>
      <c r="I1" s="37" t="s">
        <v>194</v>
      </c>
      <c r="J1" s="37" t="s">
        <v>195</v>
      </c>
      <c r="K1" s="37" t="s">
        <v>196</v>
      </c>
      <c r="L1" s="37" t="s">
        <v>197</v>
      </c>
      <c r="M1" s="37" t="s">
        <v>190</v>
      </c>
      <c r="N1" s="37" t="s">
        <v>198</v>
      </c>
    </row>
    <row r="2" spans="1:15" x14ac:dyDescent="0.35">
      <c r="A2" s="38">
        <v>19</v>
      </c>
      <c r="B2" s="38" t="s">
        <v>183</v>
      </c>
      <c r="C2" s="39" t="s">
        <v>238</v>
      </c>
      <c r="D2" s="41">
        <v>190000</v>
      </c>
      <c r="E2" s="44" t="s">
        <v>245</v>
      </c>
      <c r="F2" s="41">
        <f>190000*3</f>
        <v>570000</v>
      </c>
      <c r="G2" s="41" t="s">
        <v>228</v>
      </c>
      <c r="H2" s="41">
        <v>5</v>
      </c>
      <c r="I2" s="46">
        <v>46113</v>
      </c>
      <c r="J2" s="47" t="s">
        <v>239</v>
      </c>
      <c r="K2" s="41" t="s">
        <v>1</v>
      </c>
      <c r="L2" s="43">
        <v>3.8</v>
      </c>
      <c r="M2" s="42">
        <v>0.06</v>
      </c>
      <c r="N2" s="44" t="s">
        <v>240</v>
      </c>
      <c r="O2" s="37"/>
    </row>
    <row r="3" spans="1:15" x14ac:dyDescent="0.35">
      <c r="A3" s="38">
        <v>22</v>
      </c>
      <c r="B3" s="31" t="s">
        <v>184</v>
      </c>
      <c r="C3" s="39" t="s">
        <v>241</v>
      </c>
      <c r="D3" s="41">
        <v>600000</v>
      </c>
      <c r="E3" s="44" t="s">
        <v>242</v>
      </c>
      <c r="F3" s="41">
        <v>1200000</v>
      </c>
      <c r="G3" s="41" t="s">
        <v>228</v>
      </c>
      <c r="H3" s="41">
        <v>5</v>
      </c>
      <c r="I3" s="46">
        <v>46113</v>
      </c>
      <c r="J3" s="47" t="s">
        <v>239</v>
      </c>
      <c r="K3" s="41" t="s">
        <v>198</v>
      </c>
      <c r="L3" s="43">
        <v>12</v>
      </c>
      <c r="M3" s="42">
        <v>0.06</v>
      </c>
      <c r="N3" s="44" t="s">
        <v>243</v>
      </c>
      <c r="O3" s="37"/>
    </row>
    <row r="4" spans="1:15" x14ac:dyDescent="0.35">
      <c r="A4" s="38">
        <v>28</v>
      </c>
      <c r="B4" s="31" t="s">
        <v>186</v>
      </c>
      <c r="C4" s="39" t="s">
        <v>250</v>
      </c>
      <c r="D4" s="41">
        <v>184000</v>
      </c>
      <c r="E4" s="44" t="s">
        <v>244</v>
      </c>
      <c r="F4" s="41">
        <f>+D4*3</f>
        <v>552000</v>
      </c>
      <c r="G4" s="41" t="s">
        <v>229</v>
      </c>
      <c r="H4" s="41">
        <v>3</v>
      </c>
      <c r="I4" s="46">
        <v>46113</v>
      </c>
      <c r="J4" s="47" t="s">
        <v>239</v>
      </c>
      <c r="K4" s="41" t="s">
        <v>198</v>
      </c>
      <c r="L4" s="43">
        <v>4.01</v>
      </c>
      <c r="M4" s="42">
        <v>5.5E-2</v>
      </c>
      <c r="N4" s="44" t="s">
        <v>249</v>
      </c>
      <c r="O4" s="37"/>
    </row>
    <row r="5" spans="1:15" x14ac:dyDescent="0.35">
      <c r="A5" s="37">
        <v>30</v>
      </c>
      <c r="B5" s="31" t="s">
        <v>181</v>
      </c>
      <c r="C5" s="39" t="s">
        <v>232</v>
      </c>
      <c r="D5" s="45">
        <v>418000</v>
      </c>
      <c r="E5" s="44" t="s">
        <v>225</v>
      </c>
      <c r="F5" s="45">
        <f>275000*3</f>
        <v>825000</v>
      </c>
      <c r="G5" s="41" t="s">
        <v>228</v>
      </c>
      <c r="H5" s="41">
        <v>15</v>
      </c>
      <c r="I5" s="46">
        <v>42461</v>
      </c>
      <c r="J5" s="44" t="s">
        <v>230</v>
      </c>
      <c r="K5" s="41" t="s">
        <v>198</v>
      </c>
      <c r="L5" s="43">
        <v>16</v>
      </c>
      <c r="M5" s="42">
        <v>3.1359999999999999E-2</v>
      </c>
      <c r="N5" s="44" t="s">
        <v>220</v>
      </c>
      <c r="O5" s="37"/>
    </row>
    <row r="6" spans="1:15" x14ac:dyDescent="0.35">
      <c r="A6" s="37">
        <v>31</v>
      </c>
      <c r="B6" s="31" t="s">
        <v>181</v>
      </c>
      <c r="C6" s="39" t="s">
        <v>233</v>
      </c>
      <c r="D6" s="45">
        <v>78000</v>
      </c>
      <c r="E6" s="44" t="s">
        <v>226</v>
      </c>
      <c r="F6" s="45">
        <f>+D6*6</f>
        <v>468000</v>
      </c>
      <c r="G6" s="41" t="s">
        <v>229</v>
      </c>
      <c r="H6" s="41">
        <v>5</v>
      </c>
      <c r="I6" s="46">
        <v>45748</v>
      </c>
      <c r="J6" s="47" t="s">
        <v>231</v>
      </c>
      <c r="K6" s="41" t="s">
        <v>198</v>
      </c>
      <c r="L6" s="43">
        <v>1.44</v>
      </c>
      <c r="M6" s="42">
        <v>6.5000000000000002E-2</v>
      </c>
      <c r="N6" s="44" t="s">
        <v>221</v>
      </c>
      <c r="O6" s="37"/>
    </row>
    <row r="7" spans="1:15" x14ac:dyDescent="0.35">
      <c r="A7" s="37">
        <v>32</v>
      </c>
      <c r="B7" s="31" t="s">
        <v>181</v>
      </c>
      <c r="C7" s="39" t="s">
        <v>234</v>
      </c>
      <c r="D7" s="45">
        <v>110000</v>
      </c>
      <c r="E7" s="44" t="s">
        <v>227</v>
      </c>
      <c r="F7" s="45">
        <f>+D7*3</f>
        <v>330000</v>
      </c>
      <c r="G7" s="41" t="s">
        <v>229</v>
      </c>
      <c r="H7" s="41">
        <v>5</v>
      </c>
      <c r="I7" s="46">
        <v>45748</v>
      </c>
      <c r="J7" s="47" t="s">
        <v>231</v>
      </c>
      <c r="K7" s="41" t="s">
        <v>198</v>
      </c>
      <c r="L7" s="43">
        <v>2.21</v>
      </c>
      <c r="M7" s="42">
        <v>0.06</v>
      </c>
      <c r="N7" s="44" t="s">
        <v>222</v>
      </c>
      <c r="O7" s="37"/>
    </row>
    <row r="8" spans="1:15" x14ac:dyDescent="0.35">
      <c r="A8" s="37">
        <v>33</v>
      </c>
      <c r="B8" s="31" t="s">
        <v>181</v>
      </c>
      <c r="C8" s="39" t="s">
        <v>235</v>
      </c>
      <c r="D8" s="45">
        <v>450000</v>
      </c>
      <c r="E8" s="44" t="s">
        <v>227</v>
      </c>
      <c r="F8" s="45">
        <f>390000*3</f>
        <v>1170000</v>
      </c>
      <c r="G8" s="41" t="s">
        <v>229</v>
      </c>
      <c r="H8" s="41">
        <v>5</v>
      </c>
      <c r="I8" s="46">
        <v>45748</v>
      </c>
      <c r="J8" s="47" t="s">
        <v>231</v>
      </c>
      <c r="K8" s="41" t="s">
        <v>198</v>
      </c>
      <c r="L8" s="43">
        <v>7.72</v>
      </c>
      <c r="M8" s="42">
        <v>7.0000000000000007E-2</v>
      </c>
      <c r="N8" s="44" t="s">
        <v>223</v>
      </c>
      <c r="O8" s="37"/>
    </row>
    <row r="9" spans="1:15" x14ac:dyDescent="0.35">
      <c r="A9" s="37">
        <v>34</v>
      </c>
      <c r="B9" s="31" t="s">
        <v>181</v>
      </c>
      <c r="C9" s="39" t="s">
        <v>236</v>
      </c>
      <c r="D9" s="45">
        <v>209000</v>
      </c>
      <c r="E9" s="44" t="s">
        <v>227</v>
      </c>
      <c r="F9" s="45">
        <f>199500*3</f>
        <v>598500</v>
      </c>
      <c r="G9" s="41" t="s">
        <v>229</v>
      </c>
      <c r="H9" s="41">
        <v>5</v>
      </c>
      <c r="I9" s="46">
        <v>45748</v>
      </c>
      <c r="J9" s="47" t="s">
        <v>231</v>
      </c>
      <c r="K9" s="41" t="s">
        <v>198</v>
      </c>
      <c r="L9" s="43">
        <v>4.1900000000000004</v>
      </c>
      <c r="M9" s="42">
        <v>0.06</v>
      </c>
      <c r="N9" s="44" t="s">
        <v>246</v>
      </c>
      <c r="O9" s="37"/>
    </row>
    <row r="10" spans="1:15" x14ac:dyDescent="0.35">
      <c r="A10" s="37">
        <v>35</v>
      </c>
      <c r="B10" s="31" t="s">
        <v>181</v>
      </c>
      <c r="C10" s="39" t="s">
        <v>233</v>
      </c>
      <c r="D10" s="45">
        <v>50000</v>
      </c>
      <c r="E10" s="44" t="s">
        <v>226</v>
      </c>
      <c r="F10" s="45">
        <f>+D10*3</f>
        <v>150000</v>
      </c>
      <c r="G10" s="41" t="s">
        <v>229</v>
      </c>
      <c r="H10" s="41">
        <v>5</v>
      </c>
      <c r="I10" s="46">
        <v>45748</v>
      </c>
      <c r="J10" s="47" t="s">
        <v>231</v>
      </c>
      <c r="K10" s="41" t="s">
        <v>198</v>
      </c>
      <c r="L10" s="43">
        <v>1.2</v>
      </c>
      <c r="M10" s="42">
        <v>0.05</v>
      </c>
      <c r="N10" s="44" t="s">
        <v>247</v>
      </c>
      <c r="O10" s="37"/>
    </row>
    <row r="11" spans="1:15" x14ac:dyDescent="0.35">
      <c r="A11" s="37">
        <v>36</v>
      </c>
      <c r="B11" s="31" t="s">
        <v>181</v>
      </c>
      <c r="C11" s="39" t="s">
        <v>237</v>
      </c>
      <c r="D11" s="45">
        <v>160000</v>
      </c>
      <c r="E11" s="44" t="s">
        <v>227</v>
      </c>
      <c r="F11" s="45">
        <f>+D11*3</f>
        <v>480000</v>
      </c>
      <c r="G11" s="41" t="s">
        <v>229</v>
      </c>
      <c r="H11" s="41">
        <v>3</v>
      </c>
      <c r="I11" s="46">
        <v>45748</v>
      </c>
      <c r="J11" s="47" t="s">
        <v>231</v>
      </c>
      <c r="K11" s="41" t="s">
        <v>198</v>
      </c>
      <c r="L11" s="43">
        <v>3.84</v>
      </c>
      <c r="M11" s="42">
        <v>0.05</v>
      </c>
      <c r="N11" s="44" t="s">
        <v>248</v>
      </c>
      <c r="O11" s="37"/>
    </row>
    <row r="12" spans="1:15" x14ac:dyDescent="0.35">
      <c r="A12" s="37">
        <v>37</v>
      </c>
      <c r="B12" s="31" t="s">
        <v>181</v>
      </c>
      <c r="C12" s="39" t="s">
        <v>237</v>
      </c>
      <c r="D12" s="45">
        <v>150000</v>
      </c>
      <c r="E12" s="44" t="s">
        <v>227</v>
      </c>
      <c r="F12" s="45">
        <f>+D12*3</f>
        <v>450000</v>
      </c>
      <c r="G12" s="41" t="s">
        <v>229</v>
      </c>
      <c r="H12" s="41">
        <v>3</v>
      </c>
      <c r="I12" s="46">
        <v>45748</v>
      </c>
      <c r="J12" s="47" t="s">
        <v>231</v>
      </c>
      <c r="K12" s="41" t="s">
        <v>198</v>
      </c>
      <c r="L12" s="43">
        <v>3.6</v>
      </c>
      <c r="M12" s="42">
        <v>0.05</v>
      </c>
      <c r="N12" s="44" t="s">
        <v>224</v>
      </c>
      <c r="O12" s="37"/>
    </row>
    <row r="13" spans="1:15" x14ac:dyDescent="0.35">
      <c r="A13" s="37"/>
      <c r="B13" s="37"/>
      <c r="C13" s="39"/>
      <c r="D13" s="37"/>
      <c r="E13" s="39"/>
      <c r="F13" s="37"/>
      <c r="G13" s="37"/>
      <c r="H13" s="37"/>
      <c r="I13" s="37"/>
      <c r="J13" s="37"/>
      <c r="K13" s="37"/>
      <c r="L13" s="37"/>
      <c r="M13" s="37"/>
      <c r="N13" s="37"/>
      <c r="O13" s="37"/>
    </row>
    <row r="14" spans="1:15" x14ac:dyDescent="0.35">
      <c r="A14" s="37"/>
      <c r="B14" s="37"/>
      <c r="C14" s="39"/>
      <c r="D14" s="37"/>
      <c r="E14" s="39"/>
      <c r="F14" s="37"/>
      <c r="G14" s="37"/>
      <c r="H14" s="37"/>
      <c r="I14" s="37"/>
      <c r="J14" s="37"/>
      <c r="K14" s="37"/>
      <c r="L14" s="37"/>
      <c r="M14" s="37"/>
      <c r="N14" s="37"/>
      <c r="O14" s="37"/>
    </row>
    <row r="15" spans="1:15" x14ac:dyDescent="0.35">
      <c r="A15" s="37"/>
      <c r="B15" s="37"/>
      <c r="C15" s="39"/>
      <c r="D15" s="37"/>
      <c r="E15" s="39"/>
      <c r="F15" s="37"/>
      <c r="G15" s="37"/>
      <c r="H15" s="37"/>
      <c r="I15" s="37"/>
      <c r="J15" s="37"/>
      <c r="K15" s="37"/>
      <c r="L15" s="37"/>
      <c r="M15" s="37"/>
      <c r="N15" s="37"/>
      <c r="O15" s="37"/>
    </row>
    <row r="16" spans="1:15" x14ac:dyDescent="0.35">
      <c r="A16" s="37"/>
      <c r="B16" s="37"/>
      <c r="C16" s="39"/>
      <c r="D16" s="37"/>
      <c r="E16" s="39"/>
      <c r="F16" s="37"/>
      <c r="G16" s="37"/>
      <c r="H16" s="37"/>
      <c r="I16" s="37"/>
      <c r="J16" s="37"/>
      <c r="K16" s="37"/>
      <c r="L16" s="37"/>
      <c r="M16" s="37"/>
      <c r="N16" s="37"/>
      <c r="O16" s="37"/>
    </row>
    <row r="17" spans="1:15" x14ac:dyDescent="0.35">
      <c r="A17" s="37"/>
      <c r="B17" s="37"/>
      <c r="C17" s="39"/>
      <c r="D17" s="37"/>
      <c r="E17" s="39"/>
      <c r="F17" s="37"/>
      <c r="G17" s="37"/>
      <c r="H17" s="37"/>
      <c r="I17" s="37"/>
      <c r="J17" s="37"/>
      <c r="K17" s="37"/>
      <c r="L17" s="37"/>
      <c r="M17" s="37"/>
      <c r="N17" s="37"/>
      <c r="O17" s="37"/>
    </row>
    <row r="18" spans="1:15" x14ac:dyDescent="0.35">
      <c r="A18" s="37"/>
      <c r="B18" s="37"/>
      <c r="C18" s="39"/>
      <c r="D18" s="37"/>
      <c r="E18" s="39"/>
      <c r="F18" s="37"/>
      <c r="G18" s="37"/>
      <c r="H18" s="37"/>
      <c r="I18" s="37"/>
      <c r="J18" s="37"/>
      <c r="K18" s="37"/>
      <c r="L18" s="37"/>
      <c r="M18" s="37"/>
      <c r="N18" s="37"/>
      <c r="O18" s="37"/>
    </row>
    <row r="19" spans="1:15" x14ac:dyDescent="0.35">
      <c r="A19" s="37"/>
      <c r="B19" s="37"/>
      <c r="C19" s="39"/>
      <c r="D19" s="37"/>
      <c r="E19" s="39"/>
      <c r="F19" s="37"/>
      <c r="G19" s="37"/>
      <c r="H19" s="37"/>
      <c r="I19" s="37"/>
      <c r="J19" s="37"/>
      <c r="K19" s="37"/>
      <c r="L19" s="37"/>
      <c r="M19" s="37"/>
      <c r="N19" s="37"/>
      <c r="O19" s="37"/>
    </row>
    <row r="20" spans="1:15" x14ac:dyDescent="0.35">
      <c r="A20" s="37"/>
      <c r="B20" s="37"/>
      <c r="C20" s="39"/>
      <c r="D20" s="37"/>
      <c r="E20" s="39"/>
      <c r="F20" s="37"/>
      <c r="G20" s="37"/>
      <c r="H20" s="37"/>
      <c r="I20" s="37"/>
      <c r="J20" s="37"/>
      <c r="K20" s="37"/>
      <c r="L20" s="37"/>
      <c r="M20" s="37"/>
      <c r="N20" s="37"/>
      <c r="O20" s="37"/>
    </row>
    <row r="21" spans="1:15" x14ac:dyDescent="0.35">
      <c r="A21" s="37"/>
      <c r="B21" s="37"/>
      <c r="C21" s="39"/>
      <c r="D21" s="37"/>
      <c r="E21" s="39"/>
      <c r="F21" s="37"/>
      <c r="G21" s="37"/>
      <c r="H21" s="37"/>
      <c r="I21" s="37"/>
      <c r="J21" s="37"/>
      <c r="K21" s="37"/>
      <c r="L21" s="37"/>
      <c r="M21" s="37"/>
      <c r="N21" s="37"/>
      <c r="O21" s="37"/>
    </row>
    <row r="22" spans="1:15" x14ac:dyDescent="0.35">
      <c r="A22" s="37"/>
      <c r="B22" s="37"/>
      <c r="C22" s="39"/>
      <c r="D22" s="37"/>
      <c r="E22" s="39"/>
      <c r="F22" s="37"/>
      <c r="G22" s="37"/>
      <c r="H22" s="37"/>
      <c r="I22" s="37"/>
      <c r="J22" s="37"/>
      <c r="K22" s="37"/>
      <c r="L22" s="37"/>
      <c r="M22" s="37"/>
      <c r="N22" s="37"/>
      <c r="O22" s="37"/>
    </row>
    <row r="23" spans="1:15" x14ac:dyDescent="0.35">
      <c r="A23" s="37"/>
      <c r="B23" s="37"/>
      <c r="C23" s="39"/>
      <c r="D23" s="37"/>
      <c r="E23" s="39"/>
      <c r="F23" s="37"/>
      <c r="G23" s="37"/>
      <c r="H23" s="37"/>
      <c r="I23" s="37"/>
      <c r="J23" s="37"/>
      <c r="K23" s="37"/>
      <c r="L23" s="37"/>
      <c r="M23" s="37"/>
      <c r="N23" s="37"/>
      <c r="O23" s="37"/>
    </row>
    <row r="24" spans="1:15" x14ac:dyDescent="0.35">
      <c r="A24" s="37"/>
      <c r="B24" s="37"/>
      <c r="C24" s="39"/>
      <c r="D24" s="37"/>
      <c r="E24" s="39"/>
      <c r="F24" s="37"/>
      <c r="G24" s="37"/>
      <c r="H24" s="37"/>
      <c r="I24" s="37"/>
      <c r="J24" s="37"/>
      <c r="K24" s="37"/>
      <c r="L24" s="37"/>
      <c r="M24" s="37"/>
      <c r="N24" s="37"/>
      <c r="O24" s="37"/>
    </row>
    <row r="25" spans="1:15" x14ac:dyDescent="0.35">
      <c r="A25" s="37"/>
      <c r="B25" s="37"/>
      <c r="C25" s="39"/>
      <c r="D25" s="37"/>
      <c r="E25" s="39"/>
      <c r="F25" s="37"/>
      <c r="G25" s="37"/>
      <c r="H25" s="37"/>
      <c r="I25" s="37"/>
      <c r="J25" s="37"/>
      <c r="K25" s="37"/>
      <c r="L25" s="37"/>
      <c r="M25" s="37"/>
      <c r="N25" s="37"/>
      <c r="O25" s="37"/>
    </row>
    <row r="26" spans="1:15" x14ac:dyDescent="0.35">
      <c r="A26" s="37"/>
      <c r="B26" s="37"/>
      <c r="C26" s="39"/>
      <c r="D26" s="37"/>
      <c r="E26" s="39"/>
      <c r="F26" s="37"/>
      <c r="G26" s="37"/>
      <c r="H26" s="37"/>
      <c r="I26" s="37"/>
      <c r="J26" s="37"/>
      <c r="K26" s="37"/>
      <c r="L26" s="37"/>
      <c r="M26" s="37"/>
      <c r="N26" s="37"/>
      <c r="O26" s="37"/>
    </row>
    <row r="27" spans="1:15" x14ac:dyDescent="0.35">
      <c r="A27" s="37"/>
      <c r="B27" s="37"/>
      <c r="C27" s="39"/>
      <c r="D27" s="37"/>
      <c r="E27" s="39"/>
      <c r="F27" s="37"/>
      <c r="G27" s="37"/>
      <c r="H27" s="37"/>
      <c r="I27" s="37"/>
      <c r="J27" s="37"/>
      <c r="K27" s="37"/>
      <c r="L27" s="37"/>
      <c r="M27" s="37"/>
      <c r="N27" s="37"/>
      <c r="O27" s="37"/>
    </row>
    <row r="28" spans="1:15" x14ac:dyDescent="0.35">
      <c r="A28" s="37"/>
      <c r="B28" s="37"/>
      <c r="C28" s="39"/>
      <c r="D28" s="37"/>
      <c r="E28" s="39"/>
      <c r="F28" s="37"/>
      <c r="G28" s="37"/>
      <c r="H28" s="37"/>
      <c r="I28" s="37"/>
      <c r="J28" s="37"/>
      <c r="K28" s="37"/>
      <c r="L28" s="37"/>
      <c r="M28" s="37"/>
      <c r="N28" s="37"/>
      <c r="O28" s="37"/>
    </row>
    <row r="29" spans="1:15" x14ac:dyDescent="0.35">
      <c r="A29" s="37"/>
      <c r="B29" s="37"/>
      <c r="C29" s="39"/>
      <c r="D29" s="37"/>
      <c r="E29" s="39"/>
      <c r="F29" s="37"/>
      <c r="G29" s="37"/>
      <c r="H29" s="37"/>
      <c r="I29" s="37"/>
      <c r="J29" s="37"/>
      <c r="K29" s="37"/>
      <c r="L29" s="37"/>
      <c r="M29" s="37"/>
      <c r="N29" s="37"/>
      <c r="O29" s="37"/>
    </row>
    <row r="30" spans="1:15" x14ac:dyDescent="0.35">
      <c r="A30" s="37"/>
      <c r="B30" s="37"/>
      <c r="C30" s="39"/>
      <c r="D30" s="37"/>
      <c r="E30" s="39"/>
      <c r="F30" s="37"/>
      <c r="G30" s="37"/>
      <c r="H30" s="37"/>
      <c r="I30" s="37"/>
      <c r="J30" s="37"/>
      <c r="K30" s="37"/>
      <c r="L30" s="37"/>
      <c r="M30" s="37"/>
      <c r="N30" s="37"/>
      <c r="O30" s="37"/>
    </row>
    <row r="31" spans="1:15" x14ac:dyDescent="0.35">
      <c r="A31" s="37"/>
      <c r="B31" s="37"/>
      <c r="C31" s="39"/>
      <c r="D31" s="37"/>
      <c r="E31" s="39"/>
      <c r="F31" s="37"/>
      <c r="G31" s="37"/>
      <c r="H31" s="37"/>
      <c r="I31" s="37"/>
      <c r="J31" s="37"/>
      <c r="K31" s="37"/>
      <c r="L31" s="37"/>
      <c r="M31" s="37"/>
      <c r="N31" s="37"/>
      <c r="O31" s="37"/>
    </row>
    <row r="32" spans="1:15" x14ac:dyDescent="0.35">
      <c r="A32" s="37"/>
      <c r="B32" s="37"/>
      <c r="C32" s="39"/>
      <c r="D32" s="37"/>
      <c r="E32" s="39"/>
      <c r="F32" s="37"/>
      <c r="G32" s="37"/>
      <c r="H32" s="37"/>
      <c r="I32" s="37"/>
      <c r="J32" s="37"/>
      <c r="K32" s="37"/>
      <c r="L32" s="37"/>
      <c r="M32" s="37"/>
      <c r="N32" s="37"/>
      <c r="O32" s="37"/>
    </row>
    <row r="33" spans="1:15" x14ac:dyDescent="0.35">
      <c r="A33" s="37"/>
      <c r="B33" s="37"/>
      <c r="C33" s="39"/>
      <c r="D33" s="37"/>
      <c r="E33" s="39"/>
      <c r="F33" s="37"/>
      <c r="G33" s="37"/>
      <c r="H33" s="37"/>
      <c r="I33" s="37"/>
      <c r="J33" s="37"/>
      <c r="K33" s="37"/>
      <c r="L33" s="37"/>
      <c r="M33" s="37"/>
      <c r="N33" s="37"/>
      <c r="O33" s="37"/>
    </row>
    <row r="34" spans="1:15" x14ac:dyDescent="0.35">
      <c r="A34" s="37"/>
      <c r="B34" s="37"/>
      <c r="C34" s="39"/>
      <c r="D34" s="37"/>
      <c r="E34" s="39"/>
      <c r="F34" s="37"/>
      <c r="G34" s="37"/>
      <c r="H34" s="37"/>
      <c r="I34" s="37"/>
      <c r="J34" s="37"/>
      <c r="K34" s="37"/>
      <c r="L34" s="37"/>
      <c r="M34" s="37"/>
      <c r="N34" s="37"/>
      <c r="O34" s="37"/>
    </row>
    <row r="35" spans="1:15" x14ac:dyDescent="0.35">
      <c r="A35" s="37"/>
      <c r="B35" s="37"/>
      <c r="C35" s="39"/>
      <c r="D35" s="37"/>
      <c r="E35" s="39"/>
      <c r="F35" s="37"/>
      <c r="G35" s="37"/>
      <c r="H35" s="37"/>
      <c r="I35" s="37"/>
      <c r="J35" s="37"/>
      <c r="K35" s="37"/>
      <c r="L35" s="37"/>
      <c r="M35" s="37"/>
      <c r="N35" s="37"/>
      <c r="O35" s="37"/>
    </row>
    <row r="36" spans="1:15" x14ac:dyDescent="0.35">
      <c r="A36" s="37"/>
      <c r="B36" s="37"/>
      <c r="C36" s="39"/>
      <c r="D36" s="37"/>
      <c r="E36" s="39"/>
      <c r="F36" s="37"/>
      <c r="G36" s="37"/>
      <c r="H36" s="37"/>
      <c r="I36" s="37"/>
      <c r="J36" s="37"/>
      <c r="K36" s="37"/>
      <c r="L36" s="37"/>
      <c r="M36" s="37"/>
      <c r="N36" s="37"/>
      <c r="O36" s="37"/>
    </row>
    <row r="37" spans="1:15" x14ac:dyDescent="0.35">
      <c r="A37" s="37"/>
      <c r="B37" s="37"/>
      <c r="C37" s="39"/>
      <c r="D37" s="37"/>
      <c r="E37" s="39"/>
      <c r="F37" s="37"/>
      <c r="G37" s="37"/>
      <c r="H37" s="37"/>
      <c r="I37" s="37"/>
      <c r="J37" s="37"/>
      <c r="K37" s="37"/>
      <c r="L37" s="37"/>
      <c r="M37" s="37"/>
      <c r="N37" s="37"/>
      <c r="O37" s="37"/>
    </row>
    <row r="38" spans="1:15" x14ac:dyDescent="0.35">
      <c r="A38" s="37"/>
      <c r="B38" s="37"/>
      <c r="C38" s="39"/>
      <c r="D38" s="37"/>
      <c r="E38" s="39"/>
      <c r="F38" s="37"/>
      <c r="G38" s="37"/>
      <c r="H38" s="37"/>
      <c r="I38" s="37"/>
      <c r="J38" s="37"/>
      <c r="K38" s="37"/>
      <c r="L38" s="37"/>
      <c r="M38" s="37"/>
      <c r="N38" s="37"/>
      <c r="O38" s="37"/>
    </row>
    <row r="39" spans="1:15" x14ac:dyDescent="0.35">
      <c r="A39" s="37"/>
      <c r="B39" s="37"/>
      <c r="C39" s="39"/>
      <c r="D39" s="37"/>
      <c r="E39" s="39"/>
      <c r="F39" s="37"/>
      <c r="G39" s="37"/>
      <c r="H39" s="37"/>
      <c r="I39" s="37"/>
      <c r="J39" s="37"/>
      <c r="K39" s="37"/>
      <c r="L39" s="37"/>
      <c r="M39" s="37"/>
      <c r="N39" s="37"/>
      <c r="O39" s="37"/>
    </row>
    <row r="40" spans="1:15" x14ac:dyDescent="0.35">
      <c r="A40" s="37"/>
      <c r="B40" s="37"/>
      <c r="C40" s="39"/>
      <c r="D40" s="37"/>
      <c r="E40" s="39"/>
      <c r="F40" s="37"/>
      <c r="G40" s="37"/>
      <c r="H40" s="37"/>
      <c r="I40" s="37"/>
      <c r="J40" s="37"/>
      <c r="K40" s="37"/>
      <c r="L40" s="37"/>
      <c r="M40" s="37"/>
      <c r="N40" s="37"/>
      <c r="O40" s="37"/>
    </row>
    <row r="41" spans="1:15" x14ac:dyDescent="0.35">
      <c r="A41" s="37"/>
      <c r="B41" s="37"/>
      <c r="C41" s="39"/>
      <c r="D41" s="37"/>
      <c r="E41" s="39"/>
      <c r="F41" s="37"/>
      <c r="G41" s="37"/>
      <c r="H41" s="37"/>
      <c r="I41" s="37"/>
      <c r="J41" s="37"/>
      <c r="K41" s="37"/>
      <c r="L41" s="37"/>
      <c r="M41" s="37"/>
      <c r="N41" s="37"/>
      <c r="O41" s="37"/>
    </row>
    <row r="42" spans="1:15" x14ac:dyDescent="0.35">
      <c r="A42" s="37"/>
      <c r="B42" s="37"/>
      <c r="C42" s="39"/>
      <c r="D42" s="37"/>
      <c r="E42" s="39"/>
      <c r="F42" s="37"/>
      <c r="G42" s="37"/>
      <c r="H42" s="37"/>
      <c r="I42" s="37"/>
      <c r="J42" s="37"/>
      <c r="K42" s="37"/>
      <c r="L42" s="37"/>
      <c r="M42" s="37"/>
      <c r="N42" s="37"/>
      <c r="O42" s="37"/>
    </row>
    <row r="43" spans="1:15" x14ac:dyDescent="0.35">
      <c r="A43" s="37"/>
      <c r="B43" s="37"/>
      <c r="C43" s="39"/>
      <c r="D43" s="37"/>
      <c r="E43" s="39"/>
      <c r="F43" s="37"/>
      <c r="G43" s="37"/>
      <c r="H43" s="37"/>
      <c r="I43" s="37"/>
      <c r="J43" s="37"/>
      <c r="K43" s="37"/>
      <c r="L43" s="37"/>
      <c r="M43" s="37"/>
      <c r="N43" s="37"/>
      <c r="O43" s="37"/>
    </row>
    <row r="44" spans="1:15" x14ac:dyDescent="0.35">
      <c r="A44" s="37"/>
      <c r="B44" s="37"/>
      <c r="C44" s="39"/>
      <c r="D44" s="37"/>
      <c r="E44" s="39"/>
      <c r="F44" s="37"/>
      <c r="G44" s="37"/>
      <c r="H44" s="37"/>
      <c r="I44" s="37"/>
      <c r="J44" s="37"/>
      <c r="K44" s="37"/>
      <c r="L44" s="37"/>
      <c r="M44" s="37"/>
      <c r="N44" s="37"/>
      <c r="O44" s="37"/>
    </row>
    <row r="45" spans="1:15" x14ac:dyDescent="0.35">
      <c r="A45" s="37"/>
      <c r="B45" s="37"/>
      <c r="C45" s="39"/>
      <c r="D45" s="37"/>
      <c r="E45" s="39"/>
      <c r="F45" s="37"/>
      <c r="G45" s="37"/>
      <c r="H45" s="37"/>
      <c r="I45" s="37"/>
      <c r="J45" s="37"/>
      <c r="K45" s="37"/>
      <c r="L45" s="37"/>
      <c r="M45" s="37"/>
      <c r="N45" s="37"/>
      <c r="O45" s="37"/>
    </row>
    <row r="46" spans="1:15" x14ac:dyDescent="0.35">
      <c r="A46" s="37"/>
      <c r="B46" s="37"/>
      <c r="C46" s="39"/>
      <c r="D46" s="37"/>
      <c r="E46" s="39"/>
      <c r="F46" s="37"/>
      <c r="G46" s="37"/>
      <c r="H46" s="37"/>
      <c r="I46" s="37"/>
      <c r="J46" s="37"/>
      <c r="K46" s="37"/>
      <c r="L46" s="37"/>
      <c r="M46" s="37"/>
      <c r="N46" s="37"/>
      <c r="O46" s="37"/>
    </row>
    <row r="47" spans="1:15" x14ac:dyDescent="0.35">
      <c r="A47" s="37"/>
      <c r="B47" s="37"/>
      <c r="C47" s="39"/>
      <c r="D47" s="37"/>
      <c r="E47" s="39"/>
      <c r="F47" s="37"/>
      <c r="G47" s="37"/>
      <c r="H47" s="37"/>
      <c r="I47" s="37"/>
      <c r="J47" s="37"/>
      <c r="K47" s="37"/>
      <c r="L47" s="37"/>
      <c r="M47" s="37"/>
      <c r="N47" s="37"/>
      <c r="O47" s="37"/>
    </row>
    <row r="48" spans="1:15" x14ac:dyDescent="0.35">
      <c r="A48" s="37"/>
      <c r="B48" s="37"/>
      <c r="C48" s="39"/>
      <c r="D48" s="37"/>
      <c r="E48" s="39"/>
      <c r="F48" s="37"/>
      <c r="G48" s="37"/>
      <c r="H48" s="37"/>
      <c r="I48" s="37"/>
      <c r="J48" s="37"/>
      <c r="K48" s="37"/>
      <c r="L48" s="37"/>
      <c r="M48" s="37"/>
      <c r="N48" s="37"/>
      <c r="O48" s="37"/>
    </row>
    <row r="49" spans="1:15" x14ac:dyDescent="0.35">
      <c r="A49" s="37"/>
      <c r="B49" s="37"/>
      <c r="C49" s="39"/>
      <c r="D49" s="37"/>
      <c r="E49" s="39"/>
      <c r="F49" s="37"/>
      <c r="G49" s="37"/>
      <c r="H49" s="37"/>
      <c r="I49" s="37"/>
      <c r="J49" s="37"/>
      <c r="K49" s="37"/>
      <c r="L49" s="37"/>
      <c r="M49" s="37"/>
      <c r="N49" s="37"/>
      <c r="O49" s="37"/>
    </row>
    <row r="50" spans="1:15" x14ac:dyDescent="0.35">
      <c r="A50" s="37"/>
      <c r="B50" s="37"/>
      <c r="C50" s="39"/>
      <c r="D50" s="37"/>
      <c r="E50" s="39"/>
      <c r="F50" s="37"/>
      <c r="G50" s="37"/>
      <c r="H50" s="37"/>
      <c r="I50" s="37"/>
      <c r="J50" s="37"/>
      <c r="K50" s="37"/>
      <c r="L50" s="37"/>
      <c r="M50" s="37"/>
      <c r="N50" s="37"/>
      <c r="O50" s="37"/>
    </row>
    <row r="51" spans="1:15" x14ac:dyDescent="0.35">
      <c r="A51" s="37"/>
      <c r="B51" s="37"/>
      <c r="C51" s="39"/>
      <c r="D51" s="37"/>
      <c r="E51" s="39"/>
      <c r="F51" s="37"/>
      <c r="G51" s="37"/>
      <c r="H51" s="37"/>
      <c r="I51" s="37"/>
      <c r="J51" s="37"/>
      <c r="K51" s="37"/>
      <c r="L51" s="37"/>
      <c r="M51" s="37"/>
      <c r="N51" s="37"/>
      <c r="O51" s="37"/>
    </row>
    <row r="52" spans="1:15" x14ac:dyDescent="0.35">
      <c r="A52" s="37"/>
      <c r="B52" s="37"/>
      <c r="C52" s="39"/>
      <c r="D52" s="37"/>
      <c r="E52" s="39"/>
      <c r="F52" s="37"/>
      <c r="G52" s="37"/>
      <c r="H52" s="37"/>
      <c r="I52" s="37"/>
      <c r="J52" s="37"/>
      <c r="K52" s="37"/>
      <c r="L52" s="37"/>
      <c r="M52" s="37"/>
      <c r="N52" s="37"/>
      <c r="O52" s="37"/>
    </row>
    <row r="53" spans="1:15" x14ac:dyDescent="0.35">
      <c r="A53" s="37"/>
      <c r="B53" s="37"/>
      <c r="C53" s="39"/>
      <c r="D53" s="37"/>
      <c r="E53" s="39"/>
      <c r="F53" s="37"/>
      <c r="G53" s="37"/>
      <c r="H53" s="37"/>
      <c r="I53" s="37"/>
      <c r="J53" s="37"/>
      <c r="K53" s="37"/>
      <c r="L53" s="37"/>
      <c r="M53" s="37"/>
      <c r="N53" s="37"/>
      <c r="O53" s="37"/>
    </row>
    <row r="54" spans="1:15" x14ac:dyDescent="0.35">
      <c r="A54" s="37"/>
      <c r="B54" s="37"/>
      <c r="C54" s="39"/>
      <c r="D54" s="37"/>
      <c r="E54" s="39"/>
      <c r="F54" s="37"/>
      <c r="G54" s="37"/>
      <c r="H54" s="37"/>
      <c r="I54" s="37"/>
      <c r="J54" s="37"/>
      <c r="K54" s="37"/>
      <c r="L54" s="37"/>
      <c r="M54" s="37"/>
      <c r="N54" s="37"/>
      <c r="O54" s="37"/>
    </row>
    <row r="55" spans="1:15" x14ac:dyDescent="0.35">
      <c r="A55" s="37"/>
      <c r="B55" s="37"/>
      <c r="C55" s="39"/>
      <c r="D55" s="37"/>
      <c r="E55" s="39"/>
      <c r="F55" s="37"/>
      <c r="G55" s="37"/>
      <c r="H55" s="37"/>
      <c r="I55" s="37"/>
      <c r="J55" s="37"/>
      <c r="K55" s="37"/>
      <c r="L55" s="37"/>
      <c r="M55" s="37"/>
      <c r="N55" s="37"/>
      <c r="O55" s="37"/>
    </row>
    <row r="56" spans="1:15" x14ac:dyDescent="0.35">
      <c r="A56" s="37"/>
      <c r="B56" s="37"/>
      <c r="C56" s="39"/>
      <c r="D56" s="37"/>
      <c r="E56" s="39"/>
      <c r="F56" s="37"/>
      <c r="G56" s="37"/>
      <c r="H56" s="37"/>
      <c r="I56" s="37"/>
      <c r="J56" s="37"/>
      <c r="K56" s="37"/>
      <c r="L56" s="37"/>
      <c r="M56" s="37"/>
      <c r="N56" s="37"/>
      <c r="O56" s="37"/>
    </row>
    <row r="57" spans="1:15" x14ac:dyDescent="0.35">
      <c r="A57" s="37"/>
      <c r="B57" s="37"/>
      <c r="C57" s="39"/>
      <c r="D57" s="37"/>
      <c r="E57" s="39"/>
      <c r="F57" s="37"/>
      <c r="G57" s="37"/>
      <c r="H57" s="37"/>
      <c r="I57" s="37"/>
      <c r="J57" s="37"/>
      <c r="K57" s="37"/>
      <c r="L57" s="37"/>
      <c r="M57" s="37"/>
      <c r="N57" s="37"/>
      <c r="O57" s="37"/>
    </row>
    <row r="58" spans="1:15" x14ac:dyDescent="0.35">
      <c r="A58" s="37"/>
      <c r="B58" s="37"/>
      <c r="C58" s="39"/>
      <c r="D58" s="37"/>
      <c r="E58" s="39"/>
      <c r="F58" s="37"/>
      <c r="G58" s="37"/>
      <c r="H58" s="37"/>
      <c r="I58" s="37"/>
      <c r="J58" s="37"/>
      <c r="K58" s="37"/>
      <c r="L58" s="37"/>
      <c r="M58" s="37"/>
      <c r="N58" s="37"/>
      <c r="O58" s="37"/>
    </row>
    <row r="59" spans="1:15" x14ac:dyDescent="0.35">
      <c r="A59" s="37"/>
      <c r="B59" s="37"/>
      <c r="C59" s="39"/>
      <c r="D59" s="37"/>
      <c r="E59" s="39"/>
      <c r="F59" s="37"/>
      <c r="G59" s="37"/>
      <c r="H59" s="37"/>
      <c r="I59" s="37"/>
      <c r="J59" s="37"/>
      <c r="K59" s="37"/>
      <c r="L59" s="37"/>
      <c r="M59" s="37"/>
      <c r="N59" s="37"/>
      <c r="O59" s="37"/>
    </row>
    <row r="60" spans="1:15" x14ac:dyDescent="0.35">
      <c r="A60" s="37"/>
      <c r="B60" s="37"/>
      <c r="C60" s="39"/>
      <c r="D60" s="37"/>
      <c r="E60" s="39"/>
      <c r="F60" s="37"/>
      <c r="G60" s="37"/>
      <c r="H60" s="37"/>
      <c r="I60" s="37"/>
      <c r="J60" s="37"/>
      <c r="K60" s="37"/>
      <c r="L60" s="37"/>
      <c r="M60" s="37"/>
      <c r="N60" s="37"/>
      <c r="O60" s="37"/>
    </row>
    <row r="61" spans="1:15" x14ac:dyDescent="0.35">
      <c r="A61" s="37"/>
      <c r="B61" s="37"/>
      <c r="C61" s="39"/>
      <c r="D61" s="37"/>
      <c r="E61" s="39"/>
      <c r="F61" s="37"/>
      <c r="G61" s="37"/>
      <c r="H61" s="37"/>
      <c r="I61" s="37"/>
      <c r="J61" s="37"/>
      <c r="K61" s="37"/>
      <c r="L61" s="37"/>
      <c r="M61" s="37"/>
      <c r="N61" s="37"/>
      <c r="O61" s="37"/>
    </row>
    <row r="62" spans="1:15" x14ac:dyDescent="0.35">
      <c r="A62" s="37"/>
      <c r="B62" s="37"/>
      <c r="C62" s="39"/>
      <c r="D62" s="37"/>
      <c r="E62" s="39"/>
      <c r="F62" s="37"/>
      <c r="G62" s="37"/>
      <c r="H62" s="37"/>
      <c r="I62" s="37"/>
      <c r="J62" s="37"/>
      <c r="K62" s="37"/>
      <c r="L62" s="37"/>
      <c r="M62" s="37"/>
      <c r="N62" s="37"/>
      <c r="O62" s="37"/>
    </row>
    <row r="63" spans="1:15" x14ac:dyDescent="0.35">
      <c r="A63" s="37"/>
      <c r="B63" s="37"/>
      <c r="C63" s="39"/>
      <c r="D63" s="37"/>
      <c r="E63" s="39"/>
      <c r="F63" s="37"/>
      <c r="G63" s="37"/>
      <c r="H63" s="37"/>
      <c r="I63" s="37"/>
      <c r="J63" s="37"/>
      <c r="K63" s="37"/>
      <c r="L63" s="37"/>
      <c r="M63" s="37"/>
      <c r="N63" s="37"/>
      <c r="O63" s="37"/>
    </row>
    <row r="64" spans="1:15" x14ac:dyDescent="0.35">
      <c r="A64" s="37"/>
      <c r="B64" s="37"/>
      <c r="C64" s="39"/>
      <c r="D64" s="37"/>
      <c r="E64" s="39"/>
      <c r="F64" s="37"/>
      <c r="G64" s="37"/>
      <c r="H64" s="37"/>
      <c r="I64" s="37"/>
      <c r="J64" s="37"/>
      <c r="K64" s="37"/>
      <c r="L64" s="37"/>
      <c r="M64" s="37"/>
      <c r="N64" s="37"/>
      <c r="O64" s="37"/>
    </row>
    <row r="65" spans="1:15" x14ac:dyDescent="0.35">
      <c r="A65" s="37"/>
      <c r="B65" s="37"/>
      <c r="C65" s="39"/>
      <c r="D65" s="37"/>
      <c r="E65" s="39"/>
      <c r="F65" s="37"/>
      <c r="G65" s="37"/>
      <c r="H65" s="37"/>
      <c r="I65" s="37"/>
      <c r="J65" s="37"/>
      <c r="K65" s="37"/>
      <c r="L65" s="37"/>
      <c r="M65" s="37"/>
      <c r="N65" s="37"/>
      <c r="O65" s="37"/>
    </row>
    <row r="66" spans="1:15" x14ac:dyDescent="0.35">
      <c r="A66" s="37"/>
      <c r="B66" s="37"/>
      <c r="C66" s="39"/>
      <c r="D66" s="37"/>
      <c r="E66" s="39"/>
      <c r="F66" s="37"/>
      <c r="G66" s="37"/>
      <c r="H66" s="37"/>
      <c r="I66" s="37"/>
      <c r="J66" s="37"/>
      <c r="K66" s="37"/>
      <c r="L66" s="37"/>
      <c r="M66" s="37"/>
      <c r="N66" s="37"/>
      <c r="O66" s="37"/>
    </row>
    <row r="67" spans="1:15" x14ac:dyDescent="0.35">
      <c r="A67" s="37"/>
      <c r="B67" s="37"/>
      <c r="C67" s="39"/>
      <c r="D67" s="37"/>
      <c r="E67" s="39"/>
      <c r="F67" s="37"/>
      <c r="G67" s="37"/>
      <c r="H67" s="37"/>
      <c r="I67" s="37"/>
      <c r="J67" s="37"/>
      <c r="K67" s="37"/>
      <c r="L67" s="37"/>
      <c r="M67" s="37"/>
      <c r="N67" s="37"/>
      <c r="O67" s="37"/>
    </row>
  </sheetData>
  <autoFilter ref="A1:N12" xr:uid="{59DAAB58-840C-4444-83E1-F69AF3AE0542}"/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AAB58-840C-4444-83E1-F69AF3AE0542}">
  <sheetPr>
    <pageSetUpPr fitToPage="1"/>
  </sheetPr>
  <dimension ref="A1:F82"/>
  <sheetViews>
    <sheetView topLeftCell="A9" workbookViewId="0">
      <selection activeCell="A30" sqref="A30"/>
    </sheetView>
  </sheetViews>
  <sheetFormatPr defaultRowHeight="14.5" x14ac:dyDescent="0.35"/>
  <cols>
    <col min="1" max="1" width="10.54296875" bestFit="1" customWidth="1"/>
    <col min="2" max="2" width="12.7265625" bestFit="1" customWidth="1"/>
    <col min="3" max="3" width="22.54296875" customWidth="1"/>
    <col min="4" max="4" width="36.26953125" style="7" bestFit="1" customWidth="1"/>
    <col min="5" max="5" width="11.54296875" style="21" bestFit="1" customWidth="1"/>
  </cols>
  <sheetData>
    <row r="1" spans="1:5" s="16" customFormat="1" x14ac:dyDescent="0.35">
      <c r="A1" s="11" t="s">
        <v>171</v>
      </c>
      <c r="B1" s="11" t="s">
        <v>180</v>
      </c>
      <c r="C1" s="15" t="s">
        <v>132</v>
      </c>
      <c r="D1" s="15" t="s">
        <v>188</v>
      </c>
      <c r="E1" s="30" t="s">
        <v>8</v>
      </c>
    </row>
    <row r="2" spans="1:5" s="37" customFormat="1" ht="43.5" x14ac:dyDescent="0.35">
      <c r="A2" s="32">
        <v>1</v>
      </c>
      <c r="B2" s="32" t="s">
        <v>181</v>
      </c>
      <c r="C2" s="33" t="s">
        <v>174</v>
      </c>
      <c r="D2" s="36" t="s">
        <v>200</v>
      </c>
      <c r="E2" s="35" t="s">
        <v>173</v>
      </c>
    </row>
    <row r="3" spans="1:5" s="37" customFormat="1" ht="29" x14ac:dyDescent="0.35">
      <c r="A3" s="32">
        <v>2</v>
      </c>
      <c r="B3" s="32" t="s">
        <v>181</v>
      </c>
      <c r="C3" s="33" t="s">
        <v>174</v>
      </c>
      <c r="D3" s="36" t="s">
        <v>199</v>
      </c>
      <c r="E3" s="35" t="s">
        <v>172</v>
      </c>
    </row>
    <row r="4" spans="1:5" s="37" customFormat="1" ht="29" x14ac:dyDescent="0.35">
      <c r="A4" s="32">
        <v>3</v>
      </c>
      <c r="B4" s="32" t="s">
        <v>181</v>
      </c>
      <c r="C4" s="33" t="s">
        <v>174</v>
      </c>
      <c r="D4" s="36" t="s">
        <v>208</v>
      </c>
      <c r="E4" s="35" t="s">
        <v>175</v>
      </c>
    </row>
    <row r="5" spans="1:5" s="37" customFormat="1" ht="29" x14ac:dyDescent="0.35">
      <c r="A5" s="32">
        <v>4</v>
      </c>
      <c r="B5" s="32" t="s">
        <v>181</v>
      </c>
      <c r="C5" s="33" t="s">
        <v>174</v>
      </c>
      <c r="D5" s="36" t="s">
        <v>201</v>
      </c>
      <c r="E5" s="35">
        <v>1200</v>
      </c>
    </row>
    <row r="6" spans="1:5" s="37" customFormat="1" ht="29" x14ac:dyDescent="0.35">
      <c r="A6" s="32">
        <v>5</v>
      </c>
      <c r="B6" s="32" t="s">
        <v>181</v>
      </c>
      <c r="C6" s="33" t="s">
        <v>174</v>
      </c>
      <c r="D6" s="36" t="s">
        <v>202</v>
      </c>
      <c r="E6" s="35" t="s">
        <v>176</v>
      </c>
    </row>
    <row r="7" spans="1:5" s="37" customFormat="1" ht="29" x14ac:dyDescent="0.35">
      <c r="A7" s="32">
        <v>6</v>
      </c>
      <c r="B7" s="32" t="s">
        <v>181</v>
      </c>
      <c r="C7" s="33" t="s">
        <v>174</v>
      </c>
      <c r="D7" s="36" t="s">
        <v>203</v>
      </c>
      <c r="E7" s="35" t="s">
        <v>177</v>
      </c>
    </row>
    <row r="8" spans="1:5" s="37" customFormat="1" ht="29" x14ac:dyDescent="0.35">
      <c r="A8" s="32">
        <v>7</v>
      </c>
      <c r="B8" s="32" t="s">
        <v>181</v>
      </c>
      <c r="C8" s="33" t="s">
        <v>135</v>
      </c>
      <c r="D8" s="36" t="s">
        <v>209</v>
      </c>
      <c r="E8" s="35">
        <v>2600</v>
      </c>
    </row>
    <row r="9" spans="1:5" s="37" customFormat="1" ht="29" x14ac:dyDescent="0.35">
      <c r="A9" s="32">
        <v>8</v>
      </c>
      <c r="B9" s="32" t="s">
        <v>181</v>
      </c>
      <c r="C9" s="33" t="s">
        <v>135</v>
      </c>
      <c r="D9" s="36" t="s">
        <v>210</v>
      </c>
      <c r="E9" s="35">
        <v>2000</v>
      </c>
    </row>
    <row r="10" spans="1:5" s="37" customFormat="1" ht="29" x14ac:dyDescent="0.35">
      <c r="A10" s="32">
        <v>9</v>
      </c>
      <c r="B10" s="32" t="s">
        <v>181</v>
      </c>
      <c r="C10" s="33" t="s">
        <v>135</v>
      </c>
      <c r="D10" s="36" t="s">
        <v>211</v>
      </c>
      <c r="E10" s="35">
        <v>4000</v>
      </c>
    </row>
    <row r="11" spans="1:5" s="37" customFormat="1" ht="29" x14ac:dyDescent="0.35">
      <c r="A11" s="32">
        <v>10</v>
      </c>
      <c r="B11" s="32" t="s">
        <v>181</v>
      </c>
      <c r="C11" s="33" t="s">
        <v>136</v>
      </c>
      <c r="D11" s="36" t="s">
        <v>213</v>
      </c>
      <c r="E11" s="35">
        <v>600</v>
      </c>
    </row>
    <row r="12" spans="1:5" s="37" customFormat="1" ht="29" x14ac:dyDescent="0.35">
      <c r="A12" s="32">
        <v>11</v>
      </c>
      <c r="B12" s="32" t="s">
        <v>181</v>
      </c>
      <c r="C12" s="33" t="s">
        <v>136</v>
      </c>
      <c r="D12" s="36" t="s">
        <v>214</v>
      </c>
      <c r="E12" s="35">
        <v>300</v>
      </c>
    </row>
    <row r="13" spans="1:5" s="37" customFormat="1" ht="29" x14ac:dyDescent="0.35">
      <c r="A13" s="32">
        <v>12</v>
      </c>
      <c r="B13" s="32" t="s">
        <v>181</v>
      </c>
      <c r="C13" s="33" t="s">
        <v>136</v>
      </c>
      <c r="D13" s="36" t="s">
        <v>215</v>
      </c>
      <c r="E13" s="35">
        <v>4000</v>
      </c>
    </row>
    <row r="14" spans="1:5" s="37" customFormat="1" x14ac:dyDescent="0.35">
      <c r="A14" s="32">
        <v>13</v>
      </c>
      <c r="B14" s="32" t="s">
        <v>181</v>
      </c>
      <c r="C14" s="33" t="s">
        <v>72</v>
      </c>
      <c r="D14" s="34" t="s">
        <v>251</v>
      </c>
      <c r="E14" s="35" t="s">
        <v>179</v>
      </c>
    </row>
    <row r="15" spans="1:5" s="37" customFormat="1" x14ac:dyDescent="0.35">
      <c r="A15" s="32">
        <v>14</v>
      </c>
      <c r="B15" s="32" t="s">
        <v>181</v>
      </c>
      <c r="C15" s="33" t="s">
        <v>72</v>
      </c>
      <c r="D15" s="34" t="s">
        <v>252</v>
      </c>
      <c r="E15" s="35" t="s">
        <v>179</v>
      </c>
    </row>
    <row r="16" spans="1:5" s="37" customFormat="1" x14ac:dyDescent="0.35">
      <c r="A16" s="32">
        <v>15</v>
      </c>
      <c r="B16" s="32" t="s">
        <v>182</v>
      </c>
      <c r="C16" s="33" t="s">
        <v>72</v>
      </c>
      <c r="D16" s="34" t="s">
        <v>253</v>
      </c>
      <c r="E16" s="35" t="s">
        <v>179</v>
      </c>
    </row>
    <row r="17" spans="1:6" s="37" customFormat="1" x14ac:dyDescent="0.35">
      <c r="A17" s="32">
        <v>16</v>
      </c>
      <c r="B17" s="32" t="s">
        <v>178</v>
      </c>
      <c r="C17" s="33" t="s">
        <v>72</v>
      </c>
      <c r="D17" s="34" t="s">
        <v>254</v>
      </c>
      <c r="E17" s="35" t="s">
        <v>179</v>
      </c>
    </row>
    <row r="18" spans="1:6" s="37" customFormat="1" x14ac:dyDescent="0.35">
      <c r="A18" s="32">
        <v>17</v>
      </c>
      <c r="B18" s="32" t="s">
        <v>183</v>
      </c>
      <c r="C18" s="33" t="s">
        <v>174</v>
      </c>
      <c r="D18" s="34" t="s">
        <v>204</v>
      </c>
      <c r="E18" s="35">
        <v>1000</v>
      </c>
    </row>
    <row r="19" spans="1:6" s="37" customFormat="1" ht="29" x14ac:dyDescent="0.35">
      <c r="A19" s="32">
        <v>18</v>
      </c>
      <c r="B19" s="32" t="s">
        <v>183</v>
      </c>
      <c r="C19" s="33" t="s">
        <v>136</v>
      </c>
      <c r="D19" s="36" t="s">
        <v>216</v>
      </c>
      <c r="E19" s="48">
        <v>1800</v>
      </c>
    </row>
    <row r="20" spans="1:6" s="37" customFormat="1" x14ac:dyDescent="0.35">
      <c r="A20" s="32">
        <v>20</v>
      </c>
      <c r="B20" s="32" t="s">
        <v>184</v>
      </c>
      <c r="C20" s="33" t="s">
        <v>136</v>
      </c>
      <c r="D20" s="36" t="s">
        <v>217</v>
      </c>
      <c r="E20" s="48">
        <v>650</v>
      </c>
    </row>
    <row r="21" spans="1:6" s="37" customFormat="1" ht="29" x14ac:dyDescent="0.35">
      <c r="A21" s="32">
        <v>21</v>
      </c>
      <c r="B21" s="32" t="s">
        <v>184</v>
      </c>
      <c r="C21" s="33" t="s">
        <v>135</v>
      </c>
      <c r="D21" s="49" t="s">
        <v>212</v>
      </c>
      <c r="E21" s="48">
        <v>1800</v>
      </c>
    </row>
    <row r="22" spans="1:6" s="37" customFormat="1" x14ac:dyDescent="0.35">
      <c r="A22" s="32">
        <v>23</v>
      </c>
      <c r="B22" s="32" t="s">
        <v>184</v>
      </c>
      <c r="C22" s="33" t="s">
        <v>174</v>
      </c>
      <c r="D22" s="50" t="s">
        <v>205</v>
      </c>
      <c r="E22" s="48">
        <v>2000</v>
      </c>
    </row>
    <row r="23" spans="1:6" s="37" customFormat="1" ht="29" x14ac:dyDescent="0.35">
      <c r="A23" s="32">
        <v>24</v>
      </c>
      <c r="B23" s="32" t="s">
        <v>185</v>
      </c>
      <c r="C23" s="33" t="s">
        <v>136</v>
      </c>
      <c r="D23" s="36" t="s">
        <v>218</v>
      </c>
      <c r="E23" s="48">
        <v>6800</v>
      </c>
    </row>
    <row r="24" spans="1:6" s="37" customFormat="1" ht="29" x14ac:dyDescent="0.35">
      <c r="A24" s="32">
        <v>25</v>
      </c>
      <c r="B24" s="32" t="s">
        <v>185</v>
      </c>
      <c r="C24" s="33" t="s">
        <v>135</v>
      </c>
      <c r="D24" s="49" t="s">
        <v>212</v>
      </c>
      <c r="E24" s="48">
        <v>10000</v>
      </c>
    </row>
    <row r="25" spans="1:6" s="37" customFormat="1" x14ac:dyDescent="0.35">
      <c r="A25" s="32">
        <v>26</v>
      </c>
      <c r="B25" s="32" t="s">
        <v>186</v>
      </c>
      <c r="C25" s="33" t="s">
        <v>174</v>
      </c>
      <c r="D25" s="50" t="s">
        <v>206</v>
      </c>
      <c r="E25" s="48">
        <v>1180</v>
      </c>
    </row>
    <row r="26" spans="1:6" s="37" customFormat="1" x14ac:dyDescent="0.35">
      <c r="A26" s="32">
        <v>27</v>
      </c>
      <c r="B26" s="32" t="s">
        <v>186</v>
      </c>
      <c r="C26" s="33" t="s">
        <v>174</v>
      </c>
      <c r="D26" s="34" t="s">
        <v>207</v>
      </c>
      <c r="E26" s="48">
        <v>1440</v>
      </c>
    </row>
    <row r="27" spans="1:6" s="37" customFormat="1" ht="29" x14ac:dyDescent="0.35">
      <c r="A27" s="32">
        <v>29</v>
      </c>
      <c r="B27" s="32" t="s">
        <v>187</v>
      </c>
      <c r="C27" s="33" t="s">
        <v>136</v>
      </c>
      <c r="D27" s="36" t="s">
        <v>219</v>
      </c>
      <c r="E27" s="48">
        <v>1000</v>
      </c>
    </row>
    <row r="28" spans="1:6" x14ac:dyDescent="0.35">
      <c r="A28" s="37"/>
      <c r="B28" s="37"/>
      <c r="C28" s="37"/>
      <c r="D28" s="39"/>
      <c r="E28" s="40"/>
      <c r="F28" s="37"/>
    </row>
    <row r="29" spans="1:6" x14ac:dyDescent="0.35">
      <c r="A29" s="37"/>
      <c r="B29" s="37"/>
      <c r="C29" s="37"/>
      <c r="D29" s="39"/>
      <c r="E29" s="40"/>
      <c r="F29" s="37"/>
    </row>
    <row r="30" spans="1:6" x14ac:dyDescent="0.35">
      <c r="A30" s="37"/>
      <c r="B30" s="37"/>
      <c r="C30" s="37"/>
      <c r="D30" s="39"/>
      <c r="E30" s="40"/>
      <c r="F30" s="37"/>
    </row>
    <row r="31" spans="1:6" x14ac:dyDescent="0.35">
      <c r="A31" s="37"/>
      <c r="B31" s="37"/>
      <c r="C31" s="37"/>
      <c r="D31" s="39"/>
      <c r="E31" s="40"/>
      <c r="F31" s="37"/>
    </row>
    <row r="32" spans="1:6" x14ac:dyDescent="0.35">
      <c r="A32" s="37"/>
      <c r="B32" s="37"/>
      <c r="C32" s="37"/>
      <c r="D32" s="39"/>
      <c r="E32" s="40"/>
      <c r="F32" s="37"/>
    </row>
    <row r="33" spans="1:6" x14ac:dyDescent="0.35">
      <c r="A33" s="37"/>
      <c r="B33" s="37"/>
      <c r="C33" s="37"/>
      <c r="D33" s="39"/>
      <c r="E33" s="40"/>
      <c r="F33" s="37"/>
    </row>
    <row r="34" spans="1:6" x14ac:dyDescent="0.35">
      <c r="A34" s="37"/>
      <c r="B34" s="37"/>
      <c r="C34" s="37"/>
      <c r="D34" s="39"/>
      <c r="E34" s="40"/>
      <c r="F34" s="37"/>
    </row>
    <row r="35" spans="1:6" x14ac:dyDescent="0.35">
      <c r="A35" s="37"/>
      <c r="B35" s="37"/>
      <c r="C35" s="37"/>
      <c r="D35" s="39"/>
      <c r="E35" s="40"/>
      <c r="F35" s="37"/>
    </row>
    <row r="36" spans="1:6" x14ac:dyDescent="0.35">
      <c r="A36" s="37"/>
      <c r="B36" s="37"/>
      <c r="C36" s="37"/>
      <c r="D36" s="39"/>
      <c r="E36" s="40"/>
      <c r="F36" s="37"/>
    </row>
    <row r="37" spans="1:6" x14ac:dyDescent="0.35">
      <c r="A37" s="37"/>
      <c r="B37" s="37"/>
      <c r="C37" s="37"/>
      <c r="D37" s="39"/>
      <c r="E37" s="40"/>
      <c r="F37" s="37"/>
    </row>
    <row r="38" spans="1:6" x14ac:dyDescent="0.35">
      <c r="A38" s="37"/>
      <c r="B38" s="37"/>
      <c r="C38" s="37"/>
      <c r="D38" s="39"/>
      <c r="E38" s="40"/>
      <c r="F38" s="37"/>
    </row>
    <row r="39" spans="1:6" x14ac:dyDescent="0.35">
      <c r="A39" s="37"/>
      <c r="B39" s="37"/>
      <c r="C39" s="37"/>
      <c r="D39" s="39"/>
      <c r="E39" s="40"/>
      <c r="F39" s="37"/>
    </row>
    <row r="40" spans="1:6" x14ac:dyDescent="0.35">
      <c r="A40" s="37"/>
      <c r="B40" s="37"/>
      <c r="C40" s="37"/>
      <c r="D40" s="39"/>
      <c r="E40" s="40"/>
      <c r="F40" s="37"/>
    </row>
    <row r="41" spans="1:6" x14ac:dyDescent="0.35">
      <c r="A41" s="37"/>
      <c r="B41" s="37"/>
      <c r="C41" s="37"/>
      <c r="D41" s="39"/>
      <c r="E41" s="40"/>
      <c r="F41" s="37"/>
    </row>
    <row r="42" spans="1:6" x14ac:dyDescent="0.35">
      <c r="A42" s="37"/>
      <c r="B42" s="37"/>
      <c r="C42" s="37"/>
      <c r="D42" s="39"/>
      <c r="E42" s="40"/>
      <c r="F42" s="37"/>
    </row>
    <row r="43" spans="1:6" x14ac:dyDescent="0.35">
      <c r="A43" s="37"/>
      <c r="B43" s="37"/>
      <c r="C43" s="37"/>
      <c r="D43" s="39"/>
      <c r="E43" s="40"/>
      <c r="F43" s="37"/>
    </row>
    <row r="44" spans="1:6" x14ac:dyDescent="0.35">
      <c r="A44" s="37"/>
      <c r="B44" s="37"/>
      <c r="C44" s="37"/>
      <c r="D44" s="39"/>
      <c r="E44" s="40"/>
      <c r="F44" s="37"/>
    </row>
    <row r="45" spans="1:6" x14ac:dyDescent="0.35">
      <c r="A45" s="37"/>
      <c r="B45" s="37"/>
      <c r="C45" s="37"/>
      <c r="D45" s="39"/>
      <c r="E45" s="40"/>
      <c r="F45" s="37"/>
    </row>
    <row r="46" spans="1:6" x14ac:dyDescent="0.35">
      <c r="A46" s="37"/>
      <c r="B46" s="37"/>
      <c r="C46" s="37"/>
      <c r="D46" s="39"/>
      <c r="E46" s="40"/>
      <c r="F46" s="37"/>
    </row>
    <row r="47" spans="1:6" x14ac:dyDescent="0.35">
      <c r="A47" s="37"/>
      <c r="B47" s="37"/>
      <c r="C47" s="37"/>
      <c r="D47" s="39"/>
      <c r="E47" s="40"/>
      <c r="F47" s="37"/>
    </row>
    <row r="48" spans="1:6" x14ac:dyDescent="0.35">
      <c r="A48" s="37"/>
      <c r="B48" s="37"/>
      <c r="C48" s="37"/>
      <c r="D48" s="39"/>
      <c r="E48" s="40"/>
      <c r="F48" s="37"/>
    </row>
    <row r="49" spans="1:6" x14ac:dyDescent="0.35">
      <c r="A49" s="37"/>
      <c r="B49" s="37"/>
      <c r="C49" s="37"/>
      <c r="D49" s="39"/>
      <c r="E49" s="40"/>
      <c r="F49" s="37"/>
    </row>
    <row r="50" spans="1:6" x14ac:dyDescent="0.35">
      <c r="A50" s="37"/>
      <c r="B50" s="37"/>
      <c r="C50" s="37"/>
      <c r="D50" s="39"/>
      <c r="E50" s="40"/>
      <c r="F50" s="37"/>
    </row>
    <row r="51" spans="1:6" x14ac:dyDescent="0.35">
      <c r="A51" s="37"/>
      <c r="B51" s="37"/>
      <c r="C51" s="37"/>
      <c r="D51" s="39"/>
      <c r="E51" s="40"/>
      <c r="F51" s="37"/>
    </row>
    <row r="52" spans="1:6" x14ac:dyDescent="0.35">
      <c r="A52" s="37"/>
      <c r="B52" s="37"/>
      <c r="C52" s="37"/>
      <c r="D52" s="39"/>
      <c r="E52" s="40"/>
      <c r="F52" s="37"/>
    </row>
    <row r="53" spans="1:6" x14ac:dyDescent="0.35">
      <c r="A53" s="37"/>
      <c r="B53" s="37"/>
      <c r="C53" s="37"/>
      <c r="D53" s="39"/>
      <c r="E53" s="40"/>
      <c r="F53" s="37"/>
    </row>
    <row r="54" spans="1:6" x14ac:dyDescent="0.35">
      <c r="A54" s="37"/>
      <c r="B54" s="37"/>
      <c r="C54" s="37"/>
      <c r="D54" s="39"/>
      <c r="E54" s="40"/>
      <c r="F54" s="37"/>
    </row>
    <row r="55" spans="1:6" x14ac:dyDescent="0.35">
      <c r="A55" s="37"/>
      <c r="B55" s="37"/>
      <c r="C55" s="37"/>
      <c r="D55" s="39"/>
      <c r="E55" s="40"/>
      <c r="F55" s="37"/>
    </row>
    <row r="56" spans="1:6" x14ac:dyDescent="0.35">
      <c r="A56" s="37"/>
      <c r="B56" s="37"/>
      <c r="C56" s="37"/>
      <c r="D56" s="39"/>
      <c r="E56" s="40"/>
      <c r="F56" s="37"/>
    </row>
    <row r="57" spans="1:6" x14ac:dyDescent="0.35">
      <c r="A57" s="37"/>
      <c r="B57" s="37"/>
      <c r="C57" s="37"/>
      <c r="D57" s="39"/>
      <c r="E57" s="40"/>
      <c r="F57" s="37"/>
    </row>
    <row r="58" spans="1:6" x14ac:dyDescent="0.35">
      <c r="A58" s="37"/>
      <c r="B58" s="37"/>
      <c r="C58" s="37"/>
      <c r="D58" s="39"/>
      <c r="E58" s="40"/>
      <c r="F58" s="37"/>
    </row>
    <row r="59" spans="1:6" x14ac:dyDescent="0.35">
      <c r="A59" s="37"/>
      <c r="B59" s="37"/>
      <c r="C59" s="37"/>
      <c r="D59" s="39"/>
      <c r="E59" s="40"/>
      <c r="F59" s="37"/>
    </row>
    <row r="60" spans="1:6" x14ac:dyDescent="0.35">
      <c r="A60" s="37"/>
      <c r="B60" s="37"/>
      <c r="C60" s="37"/>
      <c r="D60" s="39"/>
      <c r="E60" s="40"/>
      <c r="F60" s="37"/>
    </row>
    <row r="61" spans="1:6" x14ac:dyDescent="0.35">
      <c r="A61" s="37"/>
      <c r="B61" s="37"/>
      <c r="C61" s="37"/>
      <c r="D61" s="39"/>
      <c r="E61" s="40"/>
      <c r="F61" s="37"/>
    </row>
    <row r="62" spans="1:6" x14ac:dyDescent="0.35">
      <c r="A62" s="37"/>
      <c r="B62" s="37"/>
      <c r="C62" s="37"/>
      <c r="D62" s="39"/>
      <c r="E62" s="40"/>
      <c r="F62" s="37"/>
    </row>
    <row r="63" spans="1:6" x14ac:dyDescent="0.35">
      <c r="A63" s="37"/>
      <c r="B63" s="37"/>
      <c r="C63" s="37"/>
      <c r="D63" s="39"/>
      <c r="E63" s="40"/>
      <c r="F63" s="37"/>
    </row>
    <row r="64" spans="1:6" x14ac:dyDescent="0.35">
      <c r="A64" s="37"/>
      <c r="B64" s="37"/>
      <c r="C64" s="37"/>
      <c r="D64" s="39"/>
      <c r="E64" s="40"/>
      <c r="F64" s="37"/>
    </row>
    <row r="65" spans="1:6" x14ac:dyDescent="0.35">
      <c r="A65" s="37"/>
      <c r="B65" s="37"/>
      <c r="C65" s="37"/>
      <c r="D65" s="39"/>
      <c r="E65" s="40"/>
      <c r="F65" s="37"/>
    </row>
    <row r="66" spans="1:6" x14ac:dyDescent="0.35">
      <c r="A66" s="37"/>
      <c r="B66" s="37"/>
      <c r="C66" s="37"/>
      <c r="D66" s="39"/>
      <c r="E66" s="40"/>
      <c r="F66" s="37"/>
    </row>
    <row r="67" spans="1:6" x14ac:dyDescent="0.35">
      <c r="A67" s="37"/>
      <c r="B67" s="37"/>
      <c r="C67" s="37"/>
      <c r="D67" s="39"/>
      <c r="E67" s="40"/>
      <c r="F67" s="37"/>
    </row>
    <row r="68" spans="1:6" x14ac:dyDescent="0.35">
      <c r="A68" s="37"/>
      <c r="B68" s="37"/>
      <c r="C68" s="37"/>
      <c r="D68" s="39"/>
      <c r="E68" s="40"/>
      <c r="F68" s="37"/>
    </row>
    <row r="69" spans="1:6" x14ac:dyDescent="0.35">
      <c r="A69" s="37"/>
      <c r="B69" s="37"/>
      <c r="C69" s="37"/>
      <c r="D69" s="39"/>
      <c r="E69" s="40"/>
      <c r="F69" s="37"/>
    </row>
    <row r="70" spans="1:6" x14ac:dyDescent="0.35">
      <c r="A70" s="37"/>
      <c r="B70" s="37"/>
      <c r="C70" s="37"/>
      <c r="D70" s="39"/>
      <c r="E70" s="40"/>
      <c r="F70" s="37"/>
    </row>
    <row r="71" spans="1:6" x14ac:dyDescent="0.35">
      <c r="A71" s="37"/>
      <c r="B71" s="37"/>
      <c r="C71" s="37"/>
      <c r="D71" s="39"/>
      <c r="E71" s="40"/>
      <c r="F71" s="37"/>
    </row>
    <row r="72" spans="1:6" x14ac:dyDescent="0.35">
      <c r="A72" s="37"/>
      <c r="B72" s="37"/>
      <c r="C72" s="37"/>
      <c r="D72" s="39"/>
      <c r="E72" s="40"/>
      <c r="F72" s="37"/>
    </row>
    <row r="73" spans="1:6" x14ac:dyDescent="0.35">
      <c r="A73" s="37"/>
      <c r="B73" s="37"/>
      <c r="C73" s="37"/>
      <c r="D73" s="39"/>
      <c r="E73" s="40"/>
      <c r="F73" s="37"/>
    </row>
    <row r="74" spans="1:6" x14ac:dyDescent="0.35">
      <c r="A74" s="37"/>
      <c r="B74" s="37"/>
      <c r="C74" s="37"/>
      <c r="D74" s="39"/>
      <c r="E74" s="40"/>
      <c r="F74" s="37"/>
    </row>
    <row r="75" spans="1:6" x14ac:dyDescent="0.35">
      <c r="A75" s="37"/>
      <c r="B75" s="37"/>
      <c r="C75" s="37"/>
      <c r="D75" s="39"/>
      <c r="E75" s="40"/>
      <c r="F75" s="37"/>
    </row>
    <row r="76" spans="1:6" x14ac:dyDescent="0.35">
      <c r="A76" s="37"/>
      <c r="B76" s="37"/>
      <c r="C76" s="37"/>
      <c r="D76" s="39"/>
      <c r="E76" s="40"/>
      <c r="F76" s="37"/>
    </row>
    <row r="77" spans="1:6" x14ac:dyDescent="0.35">
      <c r="A77" s="37"/>
      <c r="B77" s="37"/>
      <c r="C77" s="37"/>
      <c r="D77" s="39"/>
      <c r="E77" s="40"/>
      <c r="F77" s="37"/>
    </row>
    <row r="78" spans="1:6" x14ac:dyDescent="0.35">
      <c r="A78" s="37"/>
      <c r="B78" s="37"/>
      <c r="C78" s="37"/>
      <c r="D78" s="39"/>
      <c r="E78" s="40"/>
      <c r="F78" s="37"/>
    </row>
    <row r="79" spans="1:6" x14ac:dyDescent="0.35">
      <c r="A79" s="37"/>
      <c r="B79" s="37"/>
      <c r="C79" s="37"/>
      <c r="D79" s="39"/>
      <c r="E79" s="40"/>
      <c r="F79" s="37"/>
    </row>
    <row r="80" spans="1:6" x14ac:dyDescent="0.35">
      <c r="A80" s="37"/>
      <c r="B80" s="37"/>
      <c r="C80" s="37"/>
      <c r="D80" s="39"/>
      <c r="E80" s="40"/>
      <c r="F80" s="37"/>
    </row>
    <row r="81" spans="1:6" x14ac:dyDescent="0.35">
      <c r="A81" s="37"/>
      <c r="B81" s="37"/>
      <c r="C81" s="37"/>
      <c r="D81" s="39"/>
      <c r="E81" s="40"/>
      <c r="F81" s="37"/>
    </row>
    <row r="82" spans="1:6" x14ac:dyDescent="0.35">
      <c r="A82" s="37"/>
      <c r="B82" s="37"/>
      <c r="C82" s="37"/>
      <c r="D82" s="39"/>
      <c r="E82" s="40"/>
      <c r="F82" s="37"/>
    </row>
  </sheetData>
  <autoFilter ref="A1:E27" xr:uid="{59DAAB58-840C-4444-83E1-F69AF3AE0542}"/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1757-C6FA-41B0-B6C4-B65EA5A105FD}">
  <sheetPr filterMode="1">
    <pageSetUpPr fitToPage="1"/>
  </sheetPr>
  <dimension ref="A1:N94"/>
  <sheetViews>
    <sheetView workbookViewId="0">
      <selection activeCell="D1" sqref="D1"/>
    </sheetView>
  </sheetViews>
  <sheetFormatPr defaultRowHeight="14.5" x14ac:dyDescent="0.35"/>
  <cols>
    <col min="1" max="1" width="10.54296875" bestFit="1" customWidth="1"/>
    <col min="2" max="2" width="10.54296875" customWidth="1"/>
    <col min="3" max="3" width="22.54296875" bestFit="1" customWidth="1"/>
    <col min="4" max="4" width="22.54296875" customWidth="1"/>
    <col min="5" max="5" width="36.26953125" style="7" bestFit="1" customWidth="1"/>
    <col min="6" max="8" width="11" customWidth="1"/>
    <col min="9" max="9" width="11" bestFit="1" customWidth="1"/>
    <col min="10" max="10" width="11" customWidth="1"/>
    <col min="11" max="11" width="11.54296875" customWidth="1"/>
    <col min="12" max="12" width="11.54296875" style="21" bestFit="1" customWidth="1"/>
    <col min="13" max="14" width="25.7265625" style="16" customWidth="1"/>
  </cols>
  <sheetData>
    <row r="1" spans="1:14" s="16" customFormat="1" ht="29" x14ac:dyDescent="0.35">
      <c r="A1" s="11" t="s">
        <v>171</v>
      </c>
      <c r="B1" s="28" t="s">
        <v>167</v>
      </c>
      <c r="C1" s="15" t="s">
        <v>2</v>
      </c>
      <c r="D1" s="15" t="s">
        <v>132</v>
      </c>
      <c r="E1" s="15" t="s">
        <v>131</v>
      </c>
      <c r="F1" s="29" t="s">
        <v>124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138</v>
      </c>
      <c r="L1" s="30" t="s">
        <v>8</v>
      </c>
      <c r="M1" s="15" t="s">
        <v>142</v>
      </c>
      <c r="N1" s="15" t="s">
        <v>145</v>
      </c>
    </row>
    <row r="2" spans="1:14" hidden="1" x14ac:dyDescent="0.35">
      <c r="A2" s="12">
        <v>1</v>
      </c>
      <c r="B2" s="12" t="s">
        <v>169</v>
      </c>
      <c r="C2" s="13" t="s">
        <v>128</v>
      </c>
      <c r="D2" s="13" t="s">
        <v>133</v>
      </c>
      <c r="E2" s="17" t="str">
        <f t="shared" ref="E2:E33" si="0">+CONCATENATE(G2,"/",H2,", ASAF ALI ROAD, NEW DELHI 110002")</f>
        <v>1/6, ASAF ALI ROAD, NEW DELHI 110002</v>
      </c>
      <c r="F2" s="13" t="s">
        <v>126</v>
      </c>
      <c r="G2" s="12">
        <v>1</v>
      </c>
      <c r="H2" s="12">
        <v>6</v>
      </c>
      <c r="I2" s="12" t="s">
        <v>164</v>
      </c>
      <c r="J2" s="12" t="s">
        <v>14</v>
      </c>
      <c r="K2" s="12">
        <f t="shared" ref="K2:K23" si="1">+ROUND(L2/30,-1)</f>
        <v>40</v>
      </c>
      <c r="L2" s="22">
        <v>1200</v>
      </c>
      <c r="M2" s="18"/>
      <c r="N2" s="18"/>
    </row>
    <row r="3" spans="1:14" hidden="1" x14ac:dyDescent="0.35">
      <c r="A3" s="12">
        <v>2</v>
      </c>
      <c r="B3" s="12" t="s">
        <v>168</v>
      </c>
      <c r="C3" s="13" t="s">
        <v>128</v>
      </c>
      <c r="D3" s="13" t="s">
        <v>133</v>
      </c>
      <c r="E3" s="17" t="str">
        <f t="shared" si="0"/>
        <v>1/7, ASAF ALI ROAD, NEW DELHI 110002</v>
      </c>
      <c r="F3" s="13" t="s">
        <v>126</v>
      </c>
      <c r="G3" s="12">
        <v>1</v>
      </c>
      <c r="H3" s="12">
        <v>7</v>
      </c>
      <c r="I3" s="12" t="s">
        <v>165</v>
      </c>
      <c r="J3" s="12" t="s">
        <v>24</v>
      </c>
      <c r="K3" s="12">
        <f t="shared" si="1"/>
        <v>150</v>
      </c>
      <c r="L3" s="22">
        <v>4600</v>
      </c>
      <c r="M3" s="18"/>
      <c r="N3" s="18"/>
    </row>
    <row r="4" spans="1:14" ht="43.5" hidden="1" x14ac:dyDescent="0.35">
      <c r="A4" s="12">
        <v>3</v>
      </c>
      <c r="B4" s="12" t="s">
        <v>168</v>
      </c>
      <c r="C4" s="13" t="s">
        <v>128</v>
      </c>
      <c r="D4" s="13" t="s">
        <v>134</v>
      </c>
      <c r="E4" s="17" t="str">
        <f t="shared" si="0"/>
        <v>1/9, ASAF ALI ROAD, NEW DELHI 110002</v>
      </c>
      <c r="F4" s="13" t="s">
        <v>125</v>
      </c>
      <c r="G4" s="12">
        <v>1</v>
      </c>
      <c r="H4" s="12">
        <v>9</v>
      </c>
      <c r="I4" s="12" t="s">
        <v>165</v>
      </c>
      <c r="J4" s="12" t="s">
        <v>14</v>
      </c>
      <c r="K4" s="12">
        <f t="shared" si="1"/>
        <v>60</v>
      </c>
      <c r="L4" s="22">
        <v>1650</v>
      </c>
      <c r="M4" s="19" t="s">
        <v>139</v>
      </c>
      <c r="N4" s="18"/>
    </row>
    <row r="5" spans="1:14" hidden="1" x14ac:dyDescent="0.35">
      <c r="A5" s="12">
        <v>4</v>
      </c>
      <c r="B5" s="12" t="s">
        <v>169</v>
      </c>
      <c r="C5" s="13" t="s">
        <v>128</v>
      </c>
      <c r="D5" s="13" t="s">
        <v>134</v>
      </c>
      <c r="E5" s="17" t="str">
        <f t="shared" si="0"/>
        <v>1/10, ASAF ALI ROAD, NEW DELHI 110002</v>
      </c>
      <c r="F5" s="13" t="s">
        <v>125</v>
      </c>
      <c r="G5" s="12">
        <v>1</v>
      </c>
      <c r="H5" s="12">
        <v>10</v>
      </c>
      <c r="I5" s="12" t="s">
        <v>161</v>
      </c>
      <c r="J5" s="12" t="s">
        <v>24</v>
      </c>
      <c r="K5" s="12">
        <f t="shared" si="1"/>
        <v>90</v>
      </c>
      <c r="L5" s="22">
        <v>2600</v>
      </c>
      <c r="M5" s="18"/>
      <c r="N5" s="18"/>
    </row>
    <row r="6" spans="1:14" hidden="1" x14ac:dyDescent="0.35">
      <c r="A6" s="12">
        <v>5</v>
      </c>
      <c r="B6" s="12" t="s">
        <v>168</v>
      </c>
      <c r="C6" s="13" t="s">
        <v>128</v>
      </c>
      <c r="D6" s="13" t="s">
        <v>135</v>
      </c>
      <c r="E6" s="17" t="str">
        <f t="shared" si="0"/>
        <v>1/11, ASAF ALI ROAD, NEW DELHI 110002</v>
      </c>
      <c r="F6" s="13" t="s">
        <v>126</v>
      </c>
      <c r="G6" s="12">
        <v>1</v>
      </c>
      <c r="H6" s="12">
        <v>11</v>
      </c>
      <c r="I6" s="12" t="s">
        <v>161</v>
      </c>
      <c r="J6" s="12" t="s">
        <v>14</v>
      </c>
      <c r="K6" s="12">
        <f t="shared" si="1"/>
        <v>90</v>
      </c>
      <c r="L6" s="22">
        <v>2600</v>
      </c>
      <c r="M6" s="18"/>
      <c r="N6" s="18"/>
    </row>
    <row r="7" spans="1:14" hidden="1" x14ac:dyDescent="0.35">
      <c r="A7" s="12">
        <v>6</v>
      </c>
      <c r="B7" s="12" t="s">
        <v>168</v>
      </c>
      <c r="C7" s="13" t="s">
        <v>128</v>
      </c>
      <c r="D7" s="13" t="s">
        <v>133</v>
      </c>
      <c r="E7" s="17" t="str">
        <f t="shared" si="0"/>
        <v>1/11, ASAF ALI ROAD, NEW DELHI 110002</v>
      </c>
      <c r="F7" s="13" t="s">
        <v>126</v>
      </c>
      <c r="G7" s="12">
        <v>1</v>
      </c>
      <c r="H7" s="12">
        <v>11</v>
      </c>
      <c r="I7" s="12" t="s">
        <v>164</v>
      </c>
      <c r="J7" s="12" t="s">
        <v>24</v>
      </c>
      <c r="K7" s="12">
        <f t="shared" si="1"/>
        <v>90</v>
      </c>
      <c r="L7" s="22">
        <v>2600</v>
      </c>
      <c r="M7" s="18"/>
      <c r="N7" s="18"/>
    </row>
    <row r="8" spans="1:14" hidden="1" x14ac:dyDescent="0.35">
      <c r="A8" s="12">
        <v>7</v>
      </c>
      <c r="B8" s="12" t="s">
        <v>168</v>
      </c>
      <c r="C8" s="13" t="s">
        <v>128</v>
      </c>
      <c r="D8" s="13" t="s">
        <v>133</v>
      </c>
      <c r="E8" s="17" t="str">
        <f t="shared" si="0"/>
        <v>1/11, ASAF ALI ROAD, NEW DELHI 110002</v>
      </c>
      <c r="F8" s="13" t="s">
        <v>126</v>
      </c>
      <c r="G8" s="12">
        <v>1</v>
      </c>
      <c r="H8" s="12">
        <v>11</v>
      </c>
      <c r="I8" s="12" t="s">
        <v>165</v>
      </c>
      <c r="J8" s="12" t="s">
        <v>24</v>
      </c>
      <c r="K8" s="12">
        <f t="shared" si="1"/>
        <v>50</v>
      </c>
      <c r="L8" s="22">
        <v>1600</v>
      </c>
      <c r="M8" s="19"/>
      <c r="N8" s="18"/>
    </row>
    <row r="9" spans="1:14" ht="58" hidden="1" x14ac:dyDescent="0.35">
      <c r="A9" s="12">
        <v>8</v>
      </c>
      <c r="B9" s="12" t="s">
        <v>168</v>
      </c>
      <c r="C9" s="13" t="s">
        <v>128</v>
      </c>
      <c r="D9" s="13" t="s">
        <v>133</v>
      </c>
      <c r="E9" s="17" t="str">
        <f t="shared" si="0"/>
        <v>1/11, ASAF ALI ROAD, NEW DELHI 110002</v>
      </c>
      <c r="F9" s="13" t="s">
        <v>126</v>
      </c>
      <c r="G9" s="12">
        <v>1</v>
      </c>
      <c r="H9" s="12">
        <v>11</v>
      </c>
      <c r="I9" s="12" t="s">
        <v>165</v>
      </c>
      <c r="J9" s="12" t="s">
        <v>14</v>
      </c>
      <c r="K9" s="12">
        <f t="shared" si="1"/>
        <v>50</v>
      </c>
      <c r="L9" s="22">
        <v>1500</v>
      </c>
      <c r="M9" s="19" t="s">
        <v>140</v>
      </c>
      <c r="N9" s="18"/>
    </row>
    <row r="10" spans="1:14" hidden="1" x14ac:dyDescent="0.35">
      <c r="A10" s="12">
        <v>9</v>
      </c>
      <c r="B10" s="12" t="s">
        <v>168</v>
      </c>
      <c r="C10" s="13" t="s">
        <v>128</v>
      </c>
      <c r="D10" s="13" t="s">
        <v>133</v>
      </c>
      <c r="E10" s="17" t="str">
        <f t="shared" si="0"/>
        <v>1/11, ASAF ALI ROAD, NEW DELHI 110002</v>
      </c>
      <c r="F10" s="13" t="s">
        <v>126</v>
      </c>
      <c r="G10" s="12">
        <v>1</v>
      </c>
      <c r="H10" s="12">
        <v>11</v>
      </c>
      <c r="I10" s="12" t="s">
        <v>166</v>
      </c>
      <c r="J10" s="12" t="s">
        <v>24</v>
      </c>
      <c r="K10" s="12">
        <f t="shared" si="1"/>
        <v>40</v>
      </c>
      <c r="L10" s="22">
        <v>1200</v>
      </c>
      <c r="M10" s="19"/>
      <c r="N10" s="18"/>
    </row>
    <row r="11" spans="1:14" hidden="1" x14ac:dyDescent="0.35">
      <c r="A11" s="12">
        <v>10</v>
      </c>
      <c r="B11" s="12" t="s">
        <v>168</v>
      </c>
      <c r="C11" s="13" t="s">
        <v>128</v>
      </c>
      <c r="D11" s="13" t="s">
        <v>133</v>
      </c>
      <c r="E11" s="17" t="str">
        <f t="shared" si="0"/>
        <v>1/11, ASAF ALI ROAD, NEW DELHI 110002</v>
      </c>
      <c r="F11" s="13" t="s">
        <v>126</v>
      </c>
      <c r="G11" s="12">
        <v>1</v>
      </c>
      <c r="H11" s="12">
        <v>11</v>
      </c>
      <c r="I11" s="12" t="s">
        <v>166</v>
      </c>
      <c r="J11" s="12" t="s">
        <v>14</v>
      </c>
      <c r="K11" s="12">
        <f t="shared" si="1"/>
        <v>40</v>
      </c>
      <c r="L11" s="22">
        <v>1200</v>
      </c>
      <c r="M11" s="19"/>
      <c r="N11" s="18"/>
    </row>
    <row r="12" spans="1:14" ht="58" hidden="1" x14ac:dyDescent="0.35">
      <c r="A12" s="12">
        <v>11</v>
      </c>
      <c r="B12" s="12" t="s">
        <v>168</v>
      </c>
      <c r="C12" s="13" t="s">
        <v>129</v>
      </c>
      <c r="D12" s="13" t="s">
        <v>134</v>
      </c>
      <c r="E12" s="17" t="str">
        <f t="shared" si="0"/>
        <v>1/16, ASAF ALI ROAD, NEW DELHI 110002</v>
      </c>
      <c r="F12" s="13" t="s">
        <v>125</v>
      </c>
      <c r="G12" s="12">
        <v>1</v>
      </c>
      <c r="H12" s="12">
        <v>16</v>
      </c>
      <c r="I12" s="12" t="s">
        <v>162</v>
      </c>
      <c r="J12" s="12" t="s">
        <v>14</v>
      </c>
      <c r="K12" s="12">
        <f t="shared" si="1"/>
        <v>20</v>
      </c>
      <c r="L12" s="22">
        <v>600</v>
      </c>
      <c r="M12" s="19" t="s">
        <v>143</v>
      </c>
      <c r="N12" s="19" t="s">
        <v>144</v>
      </c>
    </row>
    <row r="13" spans="1:14" hidden="1" x14ac:dyDescent="0.35">
      <c r="A13" s="12">
        <v>12</v>
      </c>
      <c r="B13" s="12" t="s">
        <v>168</v>
      </c>
      <c r="C13" s="13" t="s">
        <v>129</v>
      </c>
      <c r="D13" s="13" t="s">
        <v>170</v>
      </c>
      <c r="E13" s="17" t="str">
        <f t="shared" si="0"/>
        <v>1/16, ASAF ALI ROAD, NEW DELHI 110002</v>
      </c>
      <c r="F13" s="13" t="s">
        <v>125</v>
      </c>
      <c r="G13" s="12">
        <v>1</v>
      </c>
      <c r="H13" s="12">
        <v>16</v>
      </c>
      <c r="I13" s="12" t="s">
        <v>162</v>
      </c>
      <c r="J13" s="12" t="s">
        <v>14</v>
      </c>
      <c r="K13" s="12">
        <f t="shared" si="1"/>
        <v>10</v>
      </c>
      <c r="L13" s="22">
        <v>300</v>
      </c>
      <c r="M13" s="19"/>
      <c r="N13" s="19"/>
    </row>
    <row r="14" spans="1:14" ht="58" hidden="1" x14ac:dyDescent="0.35">
      <c r="A14" s="12">
        <v>13</v>
      </c>
      <c r="B14" s="12" t="s">
        <v>169</v>
      </c>
      <c r="C14" s="13" t="s">
        <v>128</v>
      </c>
      <c r="D14" s="13" t="s">
        <v>135</v>
      </c>
      <c r="E14" s="17" t="str">
        <f t="shared" si="0"/>
        <v>1/16, ASAF ALI ROAD, NEW DELHI 110002</v>
      </c>
      <c r="F14" s="13" t="s">
        <v>125</v>
      </c>
      <c r="G14" s="12">
        <v>1</v>
      </c>
      <c r="H14" s="12">
        <v>16</v>
      </c>
      <c r="I14" s="12" t="s">
        <v>161</v>
      </c>
      <c r="J14" s="12" t="s">
        <v>24</v>
      </c>
      <c r="K14" s="12">
        <f t="shared" si="1"/>
        <v>90</v>
      </c>
      <c r="L14" s="22">
        <v>2600</v>
      </c>
      <c r="M14" s="19" t="s">
        <v>141</v>
      </c>
      <c r="N14" s="18"/>
    </row>
    <row r="15" spans="1:14" ht="58" hidden="1" x14ac:dyDescent="0.35">
      <c r="A15" s="12">
        <v>14</v>
      </c>
      <c r="B15" s="12" t="s">
        <v>169</v>
      </c>
      <c r="C15" s="13" t="s">
        <v>128</v>
      </c>
      <c r="D15" s="13" t="s">
        <v>135</v>
      </c>
      <c r="E15" s="17" t="str">
        <f t="shared" si="0"/>
        <v>1/16, ASAF ALI ROAD, NEW DELHI 110002</v>
      </c>
      <c r="F15" s="13" t="s">
        <v>125</v>
      </c>
      <c r="G15" s="12">
        <v>1</v>
      </c>
      <c r="H15" s="12">
        <v>16</v>
      </c>
      <c r="I15" s="12" t="s">
        <v>161</v>
      </c>
      <c r="J15" s="12" t="s">
        <v>14</v>
      </c>
      <c r="K15" s="12">
        <f t="shared" si="1"/>
        <v>70</v>
      </c>
      <c r="L15" s="22">
        <v>2000</v>
      </c>
      <c r="M15" s="19" t="s">
        <v>141</v>
      </c>
      <c r="N15" s="18"/>
    </row>
    <row r="16" spans="1:14" ht="43.5" hidden="1" x14ac:dyDescent="0.35">
      <c r="A16" s="12">
        <v>15</v>
      </c>
      <c r="B16" s="12" t="s">
        <v>168</v>
      </c>
      <c r="C16" s="13" t="s">
        <v>128</v>
      </c>
      <c r="D16" s="13" t="s">
        <v>135</v>
      </c>
      <c r="E16" s="17" t="str">
        <f t="shared" si="0"/>
        <v>1/21, ASAF ALI ROAD, NEW DELHI 110002</v>
      </c>
      <c r="F16" s="13" t="s">
        <v>127</v>
      </c>
      <c r="G16" s="12">
        <v>1</v>
      </c>
      <c r="H16" s="12">
        <v>21</v>
      </c>
      <c r="I16" s="12" t="s">
        <v>161</v>
      </c>
      <c r="J16" s="12" t="s">
        <v>24</v>
      </c>
      <c r="K16" s="12">
        <f t="shared" si="1"/>
        <v>150</v>
      </c>
      <c r="L16" s="22">
        <v>4423</v>
      </c>
      <c r="M16" s="19" t="s">
        <v>146</v>
      </c>
      <c r="N16" s="18"/>
    </row>
    <row r="17" spans="1:14" ht="58" hidden="1" x14ac:dyDescent="0.35">
      <c r="A17" s="12">
        <v>16</v>
      </c>
      <c r="B17" s="12" t="s">
        <v>168</v>
      </c>
      <c r="C17" s="13" t="s">
        <v>128</v>
      </c>
      <c r="D17" s="13" t="s">
        <v>136</v>
      </c>
      <c r="E17" s="17" t="str">
        <f t="shared" si="0"/>
        <v>1/21, ASAF ALI ROAD, NEW DELHI 110002</v>
      </c>
      <c r="F17" s="13" t="s">
        <v>127</v>
      </c>
      <c r="G17" s="12">
        <v>1</v>
      </c>
      <c r="H17" s="12">
        <v>21</v>
      </c>
      <c r="I17" s="12" t="s">
        <v>162</v>
      </c>
      <c r="J17" s="12" t="s">
        <v>24</v>
      </c>
      <c r="K17" s="12">
        <f t="shared" si="1"/>
        <v>150</v>
      </c>
      <c r="L17" s="22">
        <v>4423</v>
      </c>
      <c r="M17" s="19" t="s">
        <v>148</v>
      </c>
      <c r="N17" s="19"/>
    </row>
    <row r="18" spans="1:14" hidden="1" x14ac:dyDescent="0.35">
      <c r="A18" s="12">
        <v>17</v>
      </c>
      <c r="B18" s="12" t="s">
        <v>168</v>
      </c>
      <c r="C18" s="13" t="s">
        <v>130</v>
      </c>
      <c r="D18" s="13" t="s">
        <v>133</v>
      </c>
      <c r="E18" s="17" t="str">
        <f t="shared" si="0"/>
        <v>1/21, ASAF ALI ROAD, NEW DELHI 110002</v>
      </c>
      <c r="F18" s="13" t="s">
        <v>127</v>
      </c>
      <c r="G18" s="12">
        <v>1</v>
      </c>
      <c r="H18" s="12">
        <v>21</v>
      </c>
      <c r="I18" s="12" t="s">
        <v>165</v>
      </c>
      <c r="J18" s="12" t="s">
        <v>24</v>
      </c>
      <c r="K18" s="12">
        <f t="shared" si="1"/>
        <v>150</v>
      </c>
      <c r="L18" s="22">
        <v>4623</v>
      </c>
      <c r="M18" s="18"/>
      <c r="N18" s="18"/>
    </row>
    <row r="19" spans="1:14" hidden="1" x14ac:dyDescent="0.35">
      <c r="A19" s="12">
        <v>18</v>
      </c>
      <c r="B19" s="12" t="s">
        <v>168</v>
      </c>
      <c r="C19" s="13" t="s">
        <v>130</v>
      </c>
      <c r="D19" s="13" t="s">
        <v>133</v>
      </c>
      <c r="E19" s="17" t="str">
        <f t="shared" si="0"/>
        <v>1/21, ASAF ALI ROAD, NEW DELHI 110002</v>
      </c>
      <c r="F19" s="13" t="s">
        <v>127</v>
      </c>
      <c r="G19" s="12">
        <v>1</v>
      </c>
      <c r="H19" s="12">
        <v>21</v>
      </c>
      <c r="I19" s="12" t="s">
        <v>166</v>
      </c>
      <c r="J19" s="12" t="s">
        <v>24</v>
      </c>
      <c r="K19" s="12">
        <f t="shared" si="1"/>
        <v>150</v>
      </c>
      <c r="L19" s="22">
        <v>4623</v>
      </c>
      <c r="M19" s="18"/>
      <c r="N19" s="18"/>
    </row>
    <row r="20" spans="1:14" ht="58" hidden="1" x14ac:dyDescent="0.35">
      <c r="A20" s="12">
        <v>19</v>
      </c>
      <c r="B20" s="12" t="s">
        <v>168</v>
      </c>
      <c r="C20" s="13" t="s">
        <v>130</v>
      </c>
      <c r="D20" s="13" t="s">
        <v>133</v>
      </c>
      <c r="E20" s="17" t="str">
        <f t="shared" si="0"/>
        <v>1/21, ASAF ALI ROAD, NEW DELHI 110002</v>
      </c>
      <c r="F20" s="13" t="s">
        <v>127</v>
      </c>
      <c r="G20" s="12">
        <v>1</v>
      </c>
      <c r="H20" s="12">
        <v>21</v>
      </c>
      <c r="I20" s="12" t="s">
        <v>164</v>
      </c>
      <c r="J20" s="12" t="s">
        <v>24</v>
      </c>
      <c r="K20" s="12">
        <f t="shared" si="1"/>
        <v>160</v>
      </c>
      <c r="L20" s="22">
        <v>4823</v>
      </c>
      <c r="M20" s="19" t="s">
        <v>147</v>
      </c>
      <c r="N20" s="18"/>
    </row>
    <row r="21" spans="1:14" hidden="1" x14ac:dyDescent="0.35">
      <c r="A21" s="12">
        <v>20</v>
      </c>
      <c r="B21" s="12" t="s">
        <v>168</v>
      </c>
      <c r="C21" s="13" t="s">
        <v>72</v>
      </c>
      <c r="D21" s="13" t="s">
        <v>72</v>
      </c>
      <c r="E21" s="17" t="str">
        <f t="shared" si="0"/>
        <v>1/22, ASAF ALI ROAD, NEW DELHI 110002</v>
      </c>
      <c r="F21" s="13" t="s">
        <v>126</v>
      </c>
      <c r="G21" s="12">
        <v>1</v>
      </c>
      <c r="H21" s="12">
        <v>22</v>
      </c>
      <c r="I21" s="12" t="s">
        <v>164</v>
      </c>
      <c r="J21" s="12" t="s">
        <v>14</v>
      </c>
      <c r="K21" s="12">
        <f t="shared" si="1"/>
        <v>40</v>
      </c>
      <c r="L21" s="22">
        <v>1100</v>
      </c>
      <c r="M21" s="19"/>
      <c r="N21" s="18"/>
    </row>
    <row r="22" spans="1:14" ht="58" hidden="1" x14ac:dyDescent="0.35">
      <c r="A22" s="12">
        <v>21</v>
      </c>
      <c r="B22" s="12" t="s">
        <v>168</v>
      </c>
      <c r="C22" s="13" t="s">
        <v>72</v>
      </c>
      <c r="D22" s="13" t="s">
        <v>72</v>
      </c>
      <c r="E22" s="17" t="str">
        <f t="shared" si="0"/>
        <v>1/22, ASAF ALI ROAD, NEW DELHI 110002</v>
      </c>
      <c r="F22" s="13" t="s">
        <v>126</v>
      </c>
      <c r="G22" s="12">
        <v>1</v>
      </c>
      <c r="H22" s="12">
        <v>22</v>
      </c>
      <c r="I22" s="12" t="s">
        <v>165</v>
      </c>
      <c r="J22" s="12" t="s">
        <v>24</v>
      </c>
      <c r="K22" s="12">
        <f t="shared" si="1"/>
        <v>130</v>
      </c>
      <c r="L22" s="22">
        <v>4000</v>
      </c>
      <c r="M22" s="19" t="s">
        <v>149</v>
      </c>
      <c r="N22" s="20"/>
    </row>
    <row r="23" spans="1:14" hidden="1" x14ac:dyDescent="0.35">
      <c r="A23" s="12">
        <v>22</v>
      </c>
      <c r="B23" s="12" t="s">
        <v>168</v>
      </c>
      <c r="C23" s="13" t="s">
        <v>72</v>
      </c>
      <c r="D23" s="13" t="s">
        <v>72</v>
      </c>
      <c r="E23" s="17" t="str">
        <f t="shared" si="0"/>
        <v>1/22, ASAF ALI ROAD, NEW DELHI 110002</v>
      </c>
      <c r="F23" s="13" t="s">
        <v>126</v>
      </c>
      <c r="G23" s="12">
        <v>1</v>
      </c>
      <c r="H23" s="12">
        <v>22</v>
      </c>
      <c r="I23" s="12" t="s">
        <v>166</v>
      </c>
      <c r="J23" s="12" t="s">
        <v>24</v>
      </c>
      <c r="K23" s="12">
        <f t="shared" si="1"/>
        <v>130</v>
      </c>
      <c r="L23" s="22">
        <v>4000</v>
      </c>
      <c r="M23" s="18"/>
      <c r="N23" s="18"/>
    </row>
    <row r="24" spans="1:14" hidden="1" x14ac:dyDescent="0.35">
      <c r="A24" s="12">
        <v>23</v>
      </c>
      <c r="B24" s="12" t="s">
        <v>168</v>
      </c>
      <c r="C24" s="13" t="s">
        <v>128</v>
      </c>
      <c r="D24" s="13" t="s">
        <v>170</v>
      </c>
      <c r="E24" s="17" t="str">
        <f t="shared" si="0"/>
        <v>3/3, ASAF ALI ROAD, NEW DELHI 110002</v>
      </c>
      <c r="F24" s="13"/>
      <c r="G24" s="12">
        <v>3</v>
      </c>
      <c r="H24" s="12">
        <v>3</v>
      </c>
      <c r="I24" s="12" t="s">
        <v>162</v>
      </c>
      <c r="J24" s="12" t="s">
        <v>24</v>
      </c>
      <c r="K24" s="12">
        <f t="shared" ref="K24:K25" si="2">+ROUND(L24/30,-1)</f>
        <v>130</v>
      </c>
      <c r="L24" s="12">
        <v>4000</v>
      </c>
      <c r="M24" s="18"/>
      <c r="N24" s="18"/>
    </row>
    <row r="25" spans="1:14" hidden="1" x14ac:dyDescent="0.35">
      <c r="A25" s="12">
        <v>24</v>
      </c>
      <c r="B25" s="12" t="s">
        <v>168</v>
      </c>
      <c r="C25" s="13" t="s">
        <v>128</v>
      </c>
      <c r="D25" s="13" t="s">
        <v>133</v>
      </c>
      <c r="E25" s="17" t="str">
        <f t="shared" si="0"/>
        <v>3/3, ASAF ALI ROAD, NEW DELHI 110002</v>
      </c>
      <c r="F25" s="13"/>
      <c r="G25" s="12">
        <v>3</v>
      </c>
      <c r="H25" s="12">
        <v>3</v>
      </c>
      <c r="I25" s="12" t="s">
        <v>164</v>
      </c>
      <c r="J25" s="12" t="s">
        <v>24</v>
      </c>
      <c r="K25" s="12">
        <f t="shared" si="2"/>
        <v>140</v>
      </c>
      <c r="L25" s="12">
        <v>4200</v>
      </c>
      <c r="M25" s="18"/>
      <c r="N25" s="18"/>
    </row>
    <row r="26" spans="1:14" hidden="1" x14ac:dyDescent="0.35">
      <c r="A26" s="12">
        <v>25</v>
      </c>
      <c r="B26" s="12" t="s">
        <v>169</v>
      </c>
      <c r="C26" s="12" t="s">
        <v>129</v>
      </c>
      <c r="D26" s="13" t="s">
        <v>72</v>
      </c>
      <c r="E26" s="17" t="str">
        <f t="shared" si="0"/>
        <v>3/8, ASAF ALI ROAD, NEW DELHI 110002</v>
      </c>
      <c r="F26" s="13" t="s">
        <v>125</v>
      </c>
      <c r="G26" s="12">
        <v>3</v>
      </c>
      <c r="H26" s="12">
        <v>8</v>
      </c>
      <c r="I26" s="12" t="s">
        <v>164</v>
      </c>
      <c r="J26" s="12" t="s">
        <v>14</v>
      </c>
      <c r="K26" s="12">
        <f>+ROUND(L26/30,-1)</f>
        <v>20</v>
      </c>
      <c r="L26" s="22">
        <v>700</v>
      </c>
      <c r="M26" s="18"/>
      <c r="N26" s="18"/>
    </row>
    <row r="27" spans="1:14" ht="58" hidden="1" x14ac:dyDescent="0.35">
      <c r="A27" s="12">
        <v>26</v>
      </c>
      <c r="B27" s="12" t="s">
        <v>168</v>
      </c>
      <c r="C27" s="13" t="s">
        <v>72</v>
      </c>
      <c r="D27" s="13" t="s">
        <v>72</v>
      </c>
      <c r="E27" s="17" t="str">
        <f t="shared" si="0"/>
        <v>3/8, ASAF ALI ROAD, NEW DELHI 110002</v>
      </c>
      <c r="F27" s="13" t="s">
        <v>125</v>
      </c>
      <c r="G27" s="12">
        <v>3</v>
      </c>
      <c r="H27" s="12">
        <v>8</v>
      </c>
      <c r="I27" s="12" t="s">
        <v>165</v>
      </c>
      <c r="J27" s="12" t="s">
        <v>14</v>
      </c>
      <c r="K27" s="12">
        <f>+ROUND(L27/30,-1)</f>
        <v>70</v>
      </c>
      <c r="L27" s="22">
        <v>2000</v>
      </c>
      <c r="M27" s="18" t="s">
        <v>150</v>
      </c>
      <c r="N27" s="18" t="s">
        <v>151</v>
      </c>
    </row>
    <row r="28" spans="1:14" hidden="1" x14ac:dyDescent="0.35">
      <c r="A28" s="12">
        <v>27</v>
      </c>
      <c r="B28" s="12" t="s">
        <v>168</v>
      </c>
      <c r="C28" s="12" t="s">
        <v>130</v>
      </c>
      <c r="D28" s="13" t="s">
        <v>135</v>
      </c>
      <c r="E28" s="17" t="str">
        <f t="shared" si="0"/>
        <v>3/8, ASAF ALI ROAD, NEW DELHI 110002</v>
      </c>
      <c r="F28" s="13" t="s">
        <v>125</v>
      </c>
      <c r="G28" s="12">
        <v>3</v>
      </c>
      <c r="H28" s="12">
        <v>8</v>
      </c>
      <c r="I28" s="12" t="s">
        <v>163</v>
      </c>
      <c r="J28" s="12" t="s">
        <v>24</v>
      </c>
      <c r="K28" s="12">
        <f>+ROUND(L28/30,-1)</f>
        <v>10</v>
      </c>
      <c r="L28" s="22">
        <v>300</v>
      </c>
      <c r="M28" s="18"/>
      <c r="N28" s="18"/>
    </row>
    <row r="29" spans="1:14" ht="43.5" x14ac:dyDescent="0.35">
      <c r="A29" s="12">
        <v>28</v>
      </c>
      <c r="B29" s="12" t="s">
        <v>168</v>
      </c>
      <c r="C29" s="12" t="s">
        <v>130</v>
      </c>
      <c r="D29" s="13" t="s">
        <v>137</v>
      </c>
      <c r="E29" s="17" t="str">
        <f t="shared" si="0"/>
        <v>3/8, ASAF ALI ROAD, NEW DELHI 110002</v>
      </c>
      <c r="F29" s="13" t="s">
        <v>125</v>
      </c>
      <c r="G29" s="12">
        <v>3</v>
      </c>
      <c r="H29" s="12">
        <v>8</v>
      </c>
      <c r="I29" s="12" t="s">
        <v>166</v>
      </c>
      <c r="J29" s="12" t="s">
        <v>14</v>
      </c>
      <c r="K29" s="12">
        <f t="shared" ref="K29:K38" si="3">+ROUND(L29/30,0)</f>
        <v>7</v>
      </c>
      <c r="L29" s="22">
        <v>200</v>
      </c>
      <c r="M29" s="18" t="s">
        <v>152</v>
      </c>
      <c r="N29" s="18"/>
    </row>
    <row r="30" spans="1:14" ht="43.5" x14ac:dyDescent="0.35">
      <c r="A30" s="12">
        <v>29</v>
      </c>
      <c r="B30" s="12" t="s">
        <v>168</v>
      </c>
      <c r="C30" s="12" t="s">
        <v>130</v>
      </c>
      <c r="D30" s="13" t="s">
        <v>137</v>
      </c>
      <c r="E30" s="17" t="str">
        <f t="shared" si="0"/>
        <v>3/8, ASAF ALI ROAD, NEW DELHI 110002</v>
      </c>
      <c r="F30" s="13" t="s">
        <v>125</v>
      </c>
      <c r="G30" s="12">
        <v>3</v>
      </c>
      <c r="H30" s="12">
        <v>8</v>
      </c>
      <c r="I30" s="12" t="s">
        <v>166</v>
      </c>
      <c r="J30" s="12" t="s">
        <v>24</v>
      </c>
      <c r="K30" s="12">
        <f t="shared" si="3"/>
        <v>2</v>
      </c>
      <c r="L30" s="22">
        <v>50</v>
      </c>
      <c r="M30" s="18" t="s">
        <v>152</v>
      </c>
      <c r="N30" s="18"/>
    </row>
    <row r="31" spans="1:14" ht="43.5" x14ac:dyDescent="0.35">
      <c r="A31" s="12">
        <v>30</v>
      </c>
      <c r="B31" s="12" t="s">
        <v>168</v>
      </c>
      <c r="C31" s="12" t="s">
        <v>130</v>
      </c>
      <c r="D31" s="13" t="s">
        <v>137</v>
      </c>
      <c r="E31" s="17" t="str">
        <f t="shared" si="0"/>
        <v>3/8, ASAF ALI ROAD, NEW DELHI 110002</v>
      </c>
      <c r="F31" s="13" t="s">
        <v>125</v>
      </c>
      <c r="G31" s="12">
        <v>3</v>
      </c>
      <c r="H31" s="12">
        <v>8</v>
      </c>
      <c r="I31" s="12" t="s">
        <v>166</v>
      </c>
      <c r="J31" s="12" t="s">
        <v>24</v>
      </c>
      <c r="K31" s="12">
        <f t="shared" si="3"/>
        <v>2</v>
      </c>
      <c r="L31" s="22">
        <v>50</v>
      </c>
      <c r="M31" s="18" t="s">
        <v>152</v>
      </c>
      <c r="N31" s="18"/>
    </row>
    <row r="32" spans="1:14" ht="58" x14ac:dyDescent="0.35">
      <c r="A32" s="12">
        <v>31</v>
      </c>
      <c r="B32" s="12" t="s">
        <v>168</v>
      </c>
      <c r="C32" s="12" t="s">
        <v>130</v>
      </c>
      <c r="D32" s="13" t="s">
        <v>137</v>
      </c>
      <c r="E32" s="17" t="str">
        <f t="shared" si="0"/>
        <v>3/8, ASAF ALI ROAD, NEW DELHI 110002</v>
      </c>
      <c r="F32" s="13" t="s">
        <v>125</v>
      </c>
      <c r="G32" s="12">
        <v>3</v>
      </c>
      <c r="H32" s="12">
        <v>8</v>
      </c>
      <c r="I32" s="12" t="s">
        <v>166</v>
      </c>
      <c r="J32" s="12" t="s">
        <v>24</v>
      </c>
      <c r="K32" s="12">
        <f t="shared" si="3"/>
        <v>7</v>
      </c>
      <c r="L32" s="22">
        <v>200</v>
      </c>
      <c r="M32" s="18" t="s">
        <v>152</v>
      </c>
      <c r="N32" s="18" t="s">
        <v>153</v>
      </c>
    </row>
    <row r="33" spans="1:14" ht="43.5" hidden="1" x14ac:dyDescent="0.35">
      <c r="A33" s="12">
        <v>32</v>
      </c>
      <c r="B33" s="12" t="s">
        <v>168</v>
      </c>
      <c r="C33" s="12" t="s">
        <v>130</v>
      </c>
      <c r="D33" s="13" t="s">
        <v>137</v>
      </c>
      <c r="E33" s="17" t="str">
        <f t="shared" si="0"/>
        <v>3/8, ASAF ALI ROAD, NEW DELHI 110002</v>
      </c>
      <c r="F33" s="13" t="s">
        <v>125</v>
      </c>
      <c r="G33" s="12">
        <v>3</v>
      </c>
      <c r="H33" s="12">
        <v>8</v>
      </c>
      <c r="I33" s="12" t="s">
        <v>166</v>
      </c>
      <c r="J33" s="12" t="s">
        <v>14</v>
      </c>
      <c r="K33" s="12">
        <f t="shared" si="3"/>
        <v>17</v>
      </c>
      <c r="L33" s="22">
        <v>500</v>
      </c>
      <c r="M33" s="18" t="s">
        <v>152</v>
      </c>
      <c r="N33" s="18"/>
    </row>
    <row r="34" spans="1:14" ht="43.5" hidden="1" x14ac:dyDescent="0.35">
      <c r="A34" s="12">
        <v>33</v>
      </c>
      <c r="B34" s="12" t="s">
        <v>168</v>
      </c>
      <c r="C34" s="12" t="s">
        <v>130</v>
      </c>
      <c r="D34" s="13" t="s">
        <v>137</v>
      </c>
      <c r="E34" s="17" t="str">
        <f t="shared" ref="E34:E61" si="4">+CONCATENATE(G34,"/",H34,", ASAF ALI ROAD, NEW DELHI 110002")</f>
        <v>3/8, ASAF ALI ROAD, NEW DELHI 110002</v>
      </c>
      <c r="F34" s="13" t="s">
        <v>125</v>
      </c>
      <c r="G34" s="12">
        <v>3</v>
      </c>
      <c r="H34" s="12">
        <v>8</v>
      </c>
      <c r="I34" s="12" t="s">
        <v>166</v>
      </c>
      <c r="J34" s="12" t="s">
        <v>14</v>
      </c>
      <c r="K34" s="12">
        <f t="shared" si="3"/>
        <v>17</v>
      </c>
      <c r="L34" s="22">
        <v>500</v>
      </c>
      <c r="M34" s="18" t="s">
        <v>152</v>
      </c>
      <c r="N34" s="18"/>
    </row>
    <row r="35" spans="1:14" ht="43.5" x14ac:dyDescent="0.35">
      <c r="A35" s="12">
        <v>34</v>
      </c>
      <c r="B35" s="12" t="s">
        <v>168</v>
      </c>
      <c r="C35" s="12" t="s">
        <v>130</v>
      </c>
      <c r="D35" s="13" t="s">
        <v>137</v>
      </c>
      <c r="E35" s="17" t="str">
        <f t="shared" si="4"/>
        <v>3/8, ASAF ALI ROAD, NEW DELHI 110002</v>
      </c>
      <c r="F35" s="13" t="s">
        <v>125</v>
      </c>
      <c r="G35" s="12">
        <v>3</v>
      </c>
      <c r="H35" s="12">
        <v>8</v>
      </c>
      <c r="I35" s="12" t="s">
        <v>166</v>
      </c>
      <c r="J35" s="12" t="s">
        <v>14</v>
      </c>
      <c r="K35" s="12">
        <f t="shared" si="3"/>
        <v>3</v>
      </c>
      <c r="L35" s="22">
        <v>100</v>
      </c>
      <c r="M35" s="18" t="s">
        <v>152</v>
      </c>
      <c r="N35" s="18"/>
    </row>
    <row r="36" spans="1:14" ht="43.5" x14ac:dyDescent="0.35">
      <c r="A36" s="12">
        <v>35</v>
      </c>
      <c r="B36" s="12" t="s">
        <v>168</v>
      </c>
      <c r="C36" s="12" t="s">
        <v>130</v>
      </c>
      <c r="D36" s="13" t="s">
        <v>137</v>
      </c>
      <c r="E36" s="17" t="str">
        <f t="shared" si="4"/>
        <v>3/8, ASAF ALI ROAD, NEW DELHI 110002</v>
      </c>
      <c r="F36" s="13" t="s">
        <v>125</v>
      </c>
      <c r="G36" s="12">
        <v>3</v>
      </c>
      <c r="H36" s="12">
        <v>8</v>
      </c>
      <c r="I36" s="12" t="s">
        <v>166</v>
      </c>
      <c r="J36" s="12" t="s">
        <v>14</v>
      </c>
      <c r="K36" s="12">
        <f t="shared" si="3"/>
        <v>3</v>
      </c>
      <c r="L36" s="22">
        <v>100</v>
      </c>
      <c r="M36" s="18" t="s">
        <v>152</v>
      </c>
      <c r="N36" s="18"/>
    </row>
    <row r="37" spans="1:14" ht="43.5" x14ac:dyDescent="0.35">
      <c r="A37" s="12">
        <v>36</v>
      </c>
      <c r="B37" s="12" t="s">
        <v>168</v>
      </c>
      <c r="C37" s="12" t="s">
        <v>130</v>
      </c>
      <c r="D37" s="13" t="s">
        <v>137</v>
      </c>
      <c r="E37" s="17" t="str">
        <f t="shared" si="4"/>
        <v>3/8, ASAF ALI ROAD, NEW DELHI 110002</v>
      </c>
      <c r="F37" s="13" t="s">
        <v>125</v>
      </c>
      <c r="G37" s="12">
        <v>3</v>
      </c>
      <c r="H37" s="12">
        <v>8</v>
      </c>
      <c r="I37" s="12" t="s">
        <v>166</v>
      </c>
      <c r="J37" s="12" t="s">
        <v>14</v>
      </c>
      <c r="K37" s="12">
        <f t="shared" si="3"/>
        <v>7</v>
      </c>
      <c r="L37" s="22">
        <v>200</v>
      </c>
      <c r="M37" s="18" t="s">
        <v>152</v>
      </c>
      <c r="N37" s="18"/>
    </row>
    <row r="38" spans="1:14" ht="43.5" hidden="1" x14ac:dyDescent="0.35">
      <c r="A38" s="12">
        <v>37</v>
      </c>
      <c r="B38" s="12" t="s">
        <v>168</v>
      </c>
      <c r="C38" s="12" t="s">
        <v>130</v>
      </c>
      <c r="D38" s="13" t="s">
        <v>137</v>
      </c>
      <c r="E38" s="17" t="str">
        <f t="shared" si="4"/>
        <v>3/8, ASAF ALI ROAD, NEW DELHI 110002</v>
      </c>
      <c r="F38" s="13" t="s">
        <v>125</v>
      </c>
      <c r="G38" s="12">
        <v>3</v>
      </c>
      <c r="H38" s="12">
        <v>8</v>
      </c>
      <c r="I38" s="12" t="s">
        <v>166</v>
      </c>
      <c r="J38" s="12" t="s">
        <v>24</v>
      </c>
      <c r="K38" s="12">
        <f t="shared" si="3"/>
        <v>10</v>
      </c>
      <c r="L38" s="22">
        <v>300</v>
      </c>
      <c r="M38" s="18" t="s">
        <v>152</v>
      </c>
      <c r="N38" s="18"/>
    </row>
    <row r="39" spans="1:14" hidden="1" x14ac:dyDescent="0.35">
      <c r="A39" s="12">
        <v>38</v>
      </c>
      <c r="B39" s="12" t="s">
        <v>169</v>
      </c>
      <c r="C39" s="12" t="s">
        <v>130</v>
      </c>
      <c r="D39" s="13" t="s">
        <v>170</v>
      </c>
      <c r="E39" s="17" t="str">
        <f t="shared" si="4"/>
        <v>3/12, ASAF ALI ROAD, NEW DELHI 110002</v>
      </c>
      <c r="F39" s="13" t="s">
        <v>125</v>
      </c>
      <c r="G39" s="12">
        <v>3</v>
      </c>
      <c r="H39" s="12">
        <v>12</v>
      </c>
      <c r="I39" s="12" t="s">
        <v>162</v>
      </c>
      <c r="J39" s="12" t="s">
        <v>14</v>
      </c>
      <c r="K39" s="14" t="s">
        <v>121</v>
      </c>
      <c r="L39" s="22">
        <v>600</v>
      </c>
      <c r="M39" s="18"/>
      <c r="N39" s="18"/>
    </row>
    <row r="40" spans="1:14" x14ac:dyDescent="0.35">
      <c r="A40" s="12">
        <v>39</v>
      </c>
      <c r="B40" s="12" t="s">
        <v>168</v>
      </c>
      <c r="C40" s="12" t="s">
        <v>130</v>
      </c>
      <c r="D40" s="13" t="s">
        <v>133</v>
      </c>
      <c r="E40" s="17" t="str">
        <f t="shared" si="4"/>
        <v>3/12, ASAF ALI ROAD, NEW DELHI 110002</v>
      </c>
      <c r="F40" s="13" t="s">
        <v>125</v>
      </c>
      <c r="G40" s="12">
        <v>3</v>
      </c>
      <c r="H40" s="12">
        <v>12</v>
      </c>
      <c r="I40" s="12" t="s">
        <v>164</v>
      </c>
      <c r="J40" s="12" t="s">
        <v>14</v>
      </c>
      <c r="K40" s="14" t="s">
        <v>121</v>
      </c>
      <c r="L40" s="22">
        <v>100</v>
      </c>
      <c r="M40" s="18"/>
      <c r="N40" s="18"/>
    </row>
    <row r="41" spans="1:14" x14ac:dyDescent="0.35">
      <c r="A41" s="12">
        <v>40</v>
      </c>
      <c r="B41" s="12" t="s">
        <v>168</v>
      </c>
      <c r="C41" s="12" t="s">
        <v>130</v>
      </c>
      <c r="D41" s="13" t="s">
        <v>133</v>
      </c>
      <c r="E41" s="17" t="str">
        <f t="shared" si="4"/>
        <v>3/12, ASAF ALI ROAD, NEW DELHI 110002</v>
      </c>
      <c r="F41" s="13" t="s">
        <v>125</v>
      </c>
      <c r="G41" s="12">
        <v>3</v>
      </c>
      <c r="H41" s="12">
        <v>12</v>
      </c>
      <c r="I41" s="12" t="s">
        <v>164</v>
      </c>
      <c r="J41" s="12" t="s">
        <v>14</v>
      </c>
      <c r="K41" s="14" t="s">
        <v>121</v>
      </c>
      <c r="L41" s="22">
        <v>100</v>
      </c>
      <c r="M41" s="18"/>
      <c r="N41" s="18"/>
    </row>
    <row r="42" spans="1:14" ht="43.5" x14ac:dyDescent="0.35">
      <c r="A42" s="12">
        <v>41</v>
      </c>
      <c r="B42" s="12" t="s">
        <v>168</v>
      </c>
      <c r="C42" s="12" t="s">
        <v>130</v>
      </c>
      <c r="D42" s="13" t="s">
        <v>133</v>
      </c>
      <c r="E42" s="17" t="str">
        <f t="shared" si="4"/>
        <v>3/12, ASAF ALI ROAD, NEW DELHI 110002</v>
      </c>
      <c r="F42" s="13" t="s">
        <v>125</v>
      </c>
      <c r="G42" s="12">
        <v>3</v>
      </c>
      <c r="H42" s="12">
        <v>12</v>
      </c>
      <c r="I42" s="12" t="s">
        <v>164</v>
      </c>
      <c r="J42" s="12" t="s">
        <v>14</v>
      </c>
      <c r="K42" s="12">
        <f>+ROUND(L42/30,-1)</f>
        <v>10</v>
      </c>
      <c r="L42" s="22">
        <v>200</v>
      </c>
      <c r="M42" s="18"/>
      <c r="N42" s="18" t="s">
        <v>154</v>
      </c>
    </row>
    <row r="43" spans="1:14" x14ac:dyDescent="0.35">
      <c r="A43" s="12">
        <v>42</v>
      </c>
      <c r="B43" s="12" t="s">
        <v>168</v>
      </c>
      <c r="C43" s="12" t="s">
        <v>130</v>
      </c>
      <c r="D43" s="13" t="s">
        <v>133</v>
      </c>
      <c r="E43" s="17" t="str">
        <f t="shared" si="4"/>
        <v>3/12, ASAF ALI ROAD, NEW DELHI 110002</v>
      </c>
      <c r="F43" s="13" t="s">
        <v>125</v>
      </c>
      <c r="G43" s="12">
        <v>3</v>
      </c>
      <c r="H43" s="12">
        <v>12</v>
      </c>
      <c r="I43" s="12" t="s">
        <v>164</v>
      </c>
      <c r="J43" s="12" t="s">
        <v>14</v>
      </c>
      <c r="K43" s="14" t="s">
        <v>121</v>
      </c>
      <c r="L43" s="22">
        <v>100</v>
      </c>
      <c r="M43" s="18"/>
      <c r="N43" s="18"/>
    </row>
    <row r="44" spans="1:14" hidden="1" x14ac:dyDescent="0.35">
      <c r="A44" s="12">
        <v>43</v>
      </c>
      <c r="B44" s="12" t="s">
        <v>168</v>
      </c>
      <c r="C44" s="13" t="s">
        <v>128</v>
      </c>
      <c r="D44" s="13" t="s">
        <v>135</v>
      </c>
      <c r="E44" s="17" t="str">
        <f t="shared" si="4"/>
        <v>3/12, ASAF ALI ROAD, NEW DELHI 110002</v>
      </c>
      <c r="F44" s="13" t="s">
        <v>125</v>
      </c>
      <c r="G44" s="12">
        <v>3</v>
      </c>
      <c r="H44" s="12">
        <v>12</v>
      </c>
      <c r="I44" s="12" t="s">
        <v>161</v>
      </c>
      <c r="J44" s="12" t="s">
        <v>14</v>
      </c>
      <c r="K44" s="12">
        <f>+ROUND(L44/30,-1)</f>
        <v>30</v>
      </c>
      <c r="L44" s="22">
        <v>800</v>
      </c>
      <c r="M44" s="18"/>
      <c r="N44" s="18"/>
    </row>
    <row r="45" spans="1:14" hidden="1" x14ac:dyDescent="0.35">
      <c r="A45" s="12">
        <v>44</v>
      </c>
      <c r="B45" s="12" t="s">
        <v>168</v>
      </c>
      <c r="C45" s="13" t="s">
        <v>128</v>
      </c>
      <c r="D45" s="13" t="s">
        <v>135</v>
      </c>
      <c r="E45" s="17" t="str">
        <f t="shared" si="4"/>
        <v>3/12, ASAF ALI ROAD, NEW DELHI 110002</v>
      </c>
      <c r="F45" s="13" t="s">
        <v>125</v>
      </c>
      <c r="G45" s="12">
        <v>3</v>
      </c>
      <c r="H45" s="12">
        <v>12</v>
      </c>
      <c r="I45" s="12" t="s">
        <v>161</v>
      </c>
      <c r="J45" s="12" t="s">
        <v>14</v>
      </c>
      <c r="K45" s="12">
        <f>+ROUND(L45/30,-1)</f>
        <v>10</v>
      </c>
      <c r="L45" s="22">
        <v>300</v>
      </c>
      <c r="M45" s="18"/>
      <c r="N45" s="18"/>
    </row>
    <row r="46" spans="1:14" hidden="1" x14ac:dyDescent="0.35">
      <c r="A46" s="12">
        <v>45</v>
      </c>
      <c r="B46" s="12" t="s">
        <v>168</v>
      </c>
      <c r="C46" s="13" t="s">
        <v>128</v>
      </c>
      <c r="D46" s="13" t="s">
        <v>133</v>
      </c>
      <c r="E46" s="17" t="str">
        <f t="shared" si="4"/>
        <v>3/12, ASAF ALI ROAD, NEW DELHI 110002</v>
      </c>
      <c r="F46" s="13" t="s">
        <v>125</v>
      </c>
      <c r="G46" s="12">
        <v>3</v>
      </c>
      <c r="H46" s="12">
        <v>12</v>
      </c>
      <c r="I46" s="12" t="s">
        <v>166</v>
      </c>
      <c r="J46" s="12" t="s">
        <v>14</v>
      </c>
      <c r="K46" s="12">
        <f>+ROUND(L46/30,-1)</f>
        <v>40</v>
      </c>
      <c r="L46" s="22">
        <v>1300</v>
      </c>
      <c r="M46" s="18"/>
      <c r="N46" s="18"/>
    </row>
    <row r="47" spans="1:14" hidden="1" x14ac:dyDescent="0.35">
      <c r="A47" s="12">
        <v>46</v>
      </c>
      <c r="B47" s="12" t="s">
        <v>168</v>
      </c>
      <c r="C47" s="13" t="s">
        <v>128</v>
      </c>
      <c r="D47" s="13" t="s">
        <v>135</v>
      </c>
      <c r="E47" s="17" t="str">
        <f t="shared" si="4"/>
        <v>3/14, ASAF ALI ROAD, NEW DELHI 110002</v>
      </c>
      <c r="F47" s="13" t="s">
        <v>126</v>
      </c>
      <c r="G47" s="12">
        <v>3</v>
      </c>
      <c r="H47" s="12">
        <v>14</v>
      </c>
      <c r="I47" s="12" t="s">
        <v>161</v>
      </c>
      <c r="J47" s="12" t="s">
        <v>14</v>
      </c>
      <c r="K47" s="12">
        <f>+ROUND(L47/30,-1)</f>
        <v>70</v>
      </c>
      <c r="L47" s="22">
        <v>2000</v>
      </c>
      <c r="M47" s="18"/>
      <c r="N47" s="18"/>
    </row>
    <row r="48" spans="1:14" ht="58" hidden="1" x14ac:dyDescent="0.35">
      <c r="A48" s="12">
        <v>47</v>
      </c>
      <c r="B48" s="12" t="s">
        <v>168</v>
      </c>
      <c r="C48" s="12" t="s">
        <v>130</v>
      </c>
      <c r="D48" s="13" t="s">
        <v>137</v>
      </c>
      <c r="E48" s="17" t="str">
        <f t="shared" si="4"/>
        <v>3/14, ASAF ALI ROAD, NEW DELHI 110002</v>
      </c>
      <c r="F48" s="13" t="s">
        <v>126</v>
      </c>
      <c r="G48" s="12">
        <v>3</v>
      </c>
      <c r="H48" s="12">
        <v>14</v>
      </c>
      <c r="I48" s="12" t="s">
        <v>164</v>
      </c>
      <c r="J48" s="12" t="s">
        <v>14</v>
      </c>
      <c r="K48" s="12">
        <f>+ROUND(L48/30,-1)</f>
        <v>60</v>
      </c>
      <c r="L48" s="22">
        <v>1900</v>
      </c>
      <c r="M48" s="19" t="s">
        <v>155</v>
      </c>
      <c r="N48" s="18"/>
    </row>
    <row r="49" spans="1:14" ht="58" x14ac:dyDescent="0.35">
      <c r="A49" s="12">
        <v>48</v>
      </c>
      <c r="B49" s="12" t="s">
        <v>168</v>
      </c>
      <c r="C49" s="12" t="s">
        <v>130</v>
      </c>
      <c r="D49" s="13" t="s">
        <v>137</v>
      </c>
      <c r="E49" s="17" t="str">
        <f t="shared" si="4"/>
        <v>3/14, ASAF ALI ROAD, NEW DELHI 110002</v>
      </c>
      <c r="F49" s="13" t="s">
        <v>126</v>
      </c>
      <c r="G49" s="12">
        <v>3</v>
      </c>
      <c r="H49" s="12">
        <v>14</v>
      </c>
      <c r="I49" s="12" t="s">
        <v>164</v>
      </c>
      <c r="J49" s="12" t="s">
        <v>14</v>
      </c>
      <c r="K49" s="12">
        <f t="shared" ref="K49:K54" si="5">+ROUND(L49/30,0)</f>
        <v>5</v>
      </c>
      <c r="L49" s="22">
        <v>160</v>
      </c>
      <c r="M49" s="18" t="s">
        <v>155</v>
      </c>
      <c r="N49" s="18"/>
    </row>
    <row r="50" spans="1:14" ht="58" hidden="1" x14ac:dyDescent="0.35">
      <c r="A50" s="12">
        <v>49</v>
      </c>
      <c r="B50" s="12" t="s">
        <v>168</v>
      </c>
      <c r="C50" s="12" t="s">
        <v>130</v>
      </c>
      <c r="D50" s="13" t="s">
        <v>137</v>
      </c>
      <c r="E50" s="17" t="str">
        <f t="shared" si="4"/>
        <v>3/14, ASAF ALI ROAD, NEW DELHI 110002</v>
      </c>
      <c r="F50" s="13" t="s">
        <v>126</v>
      </c>
      <c r="G50" s="12">
        <v>3</v>
      </c>
      <c r="H50" s="12">
        <v>14</v>
      </c>
      <c r="I50" s="12" t="s">
        <v>164</v>
      </c>
      <c r="J50" s="12" t="s">
        <v>14</v>
      </c>
      <c r="K50" s="12">
        <f t="shared" si="5"/>
        <v>10</v>
      </c>
      <c r="L50" s="22">
        <v>300</v>
      </c>
      <c r="M50" s="18" t="s">
        <v>155</v>
      </c>
      <c r="N50" s="18"/>
    </row>
    <row r="51" spans="1:14" ht="58" x14ac:dyDescent="0.35">
      <c r="A51" s="12">
        <v>50</v>
      </c>
      <c r="B51" s="12" t="s">
        <v>168</v>
      </c>
      <c r="C51" s="12" t="s">
        <v>130</v>
      </c>
      <c r="D51" s="13" t="s">
        <v>137</v>
      </c>
      <c r="E51" s="17" t="str">
        <f t="shared" si="4"/>
        <v>3/14, ASAF ALI ROAD, NEW DELHI 110002</v>
      </c>
      <c r="F51" s="13" t="s">
        <v>126</v>
      </c>
      <c r="G51" s="12">
        <v>3</v>
      </c>
      <c r="H51" s="12">
        <v>14</v>
      </c>
      <c r="I51" s="12" t="s">
        <v>164</v>
      </c>
      <c r="J51" s="12" t="s">
        <v>14</v>
      </c>
      <c r="K51" s="12">
        <f t="shared" si="5"/>
        <v>4</v>
      </c>
      <c r="L51" s="22">
        <v>120</v>
      </c>
      <c r="M51" s="18" t="s">
        <v>155</v>
      </c>
      <c r="N51" s="18"/>
    </row>
    <row r="52" spans="1:14" ht="58" x14ac:dyDescent="0.35">
      <c r="A52" s="12">
        <v>51</v>
      </c>
      <c r="B52" s="12" t="s">
        <v>168</v>
      </c>
      <c r="C52" s="12" t="s">
        <v>130</v>
      </c>
      <c r="D52" s="13" t="s">
        <v>137</v>
      </c>
      <c r="E52" s="17" t="str">
        <f t="shared" si="4"/>
        <v>3/14, ASAF ALI ROAD, NEW DELHI 110002</v>
      </c>
      <c r="F52" s="13" t="s">
        <v>126</v>
      </c>
      <c r="G52" s="12">
        <v>3</v>
      </c>
      <c r="H52" s="12">
        <v>14</v>
      </c>
      <c r="I52" s="12" t="s">
        <v>164</v>
      </c>
      <c r="J52" s="12" t="s">
        <v>14</v>
      </c>
      <c r="K52" s="12">
        <f t="shared" si="5"/>
        <v>6</v>
      </c>
      <c r="L52" s="22">
        <v>180</v>
      </c>
      <c r="M52" s="18" t="s">
        <v>155</v>
      </c>
      <c r="N52" s="18"/>
    </row>
    <row r="53" spans="1:14" ht="58" x14ac:dyDescent="0.35">
      <c r="A53" s="12">
        <v>52</v>
      </c>
      <c r="B53" s="12" t="s">
        <v>168</v>
      </c>
      <c r="C53" s="12" t="s">
        <v>130</v>
      </c>
      <c r="D53" s="13" t="s">
        <v>137</v>
      </c>
      <c r="E53" s="17" t="str">
        <f t="shared" si="4"/>
        <v>3/14, ASAF ALI ROAD, NEW DELHI 110002</v>
      </c>
      <c r="F53" s="13" t="s">
        <v>126</v>
      </c>
      <c r="G53" s="12">
        <v>3</v>
      </c>
      <c r="H53" s="12">
        <v>14</v>
      </c>
      <c r="I53" s="12" t="s">
        <v>164</v>
      </c>
      <c r="J53" s="12" t="s">
        <v>14</v>
      </c>
      <c r="K53" s="12">
        <f t="shared" si="5"/>
        <v>3</v>
      </c>
      <c r="L53" s="22">
        <v>80</v>
      </c>
      <c r="M53" s="18" t="s">
        <v>155</v>
      </c>
      <c r="N53" s="18"/>
    </row>
    <row r="54" spans="1:14" ht="58" hidden="1" x14ac:dyDescent="0.35">
      <c r="A54" s="12">
        <v>53</v>
      </c>
      <c r="B54" s="12" t="s">
        <v>168</v>
      </c>
      <c r="C54" s="12" t="s">
        <v>130</v>
      </c>
      <c r="D54" s="13" t="s">
        <v>137</v>
      </c>
      <c r="E54" s="17" t="str">
        <f t="shared" si="4"/>
        <v>3/14, ASAF ALI ROAD, NEW DELHI 110002</v>
      </c>
      <c r="F54" s="13" t="s">
        <v>126</v>
      </c>
      <c r="G54" s="12">
        <v>3</v>
      </c>
      <c r="H54" s="12">
        <v>14</v>
      </c>
      <c r="I54" s="12" t="s">
        <v>164</v>
      </c>
      <c r="J54" s="12" t="s">
        <v>14</v>
      </c>
      <c r="K54" s="12">
        <f t="shared" si="5"/>
        <v>10</v>
      </c>
      <c r="L54" s="22">
        <v>300</v>
      </c>
      <c r="M54" s="18" t="s">
        <v>155</v>
      </c>
      <c r="N54" s="18"/>
    </row>
    <row r="55" spans="1:14" ht="43.5" hidden="1" x14ac:dyDescent="0.35">
      <c r="A55" s="12">
        <v>54</v>
      </c>
      <c r="B55" s="12" t="s">
        <v>168</v>
      </c>
      <c r="C55" s="13" t="s">
        <v>128</v>
      </c>
      <c r="D55" s="13" t="s">
        <v>135</v>
      </c>
      <c r="E55" s="17" t="str">
        <f t="shared" si="4"/>
        <v>4/6, ASAF ALI ROAD, NEW DELHI 110002</v>
      </c>
      <c r="F55" s="13" t="s">
        <v>127</v>
      </c>
      <c r="G55" s="12">
        <v>4</v>
      </c>
      <c r="H55" s="12">
        <v>6</v>
      </c>
      <c r="I55" s="12" t="s">
        <v>161</v>
      </c>
      <c r="J55" s="12" t="s">
        <v>24</v>
      </c>
      <c r="K55" s="12">
        <f t="shared" ref="K55:K61" si="6">+ROUND(L55/30,-1)</f>
        <v>130</v>
      </c>
      <c r="L55" s="22">
        <v>4000</v>
      </c>
      <c r="M55" s="19" t="s">
        <v>156</v>
      </c>
      <c r="N55" s="18"/>
    </row>
    <row r="56" spans="1:14" ht="58" hidden="1" x14ac:dyDescent="0.35">
      <c r="A56" s="12">
        <v>55</v>
      </c>
      <c r="B56" s="12" t="s">
        <v>168</v>
      </c>
      <c r="C56" s="13" t="s">
        <v>128</v>
      </c>
      <c r="D56" s="13" t="s">
        <v>133</v>
      </c>
      <c r="E56" s="17" t="str">
        <f t="shared" si="4"/>
        <v>4/6, ASAF ALI ROAD, NEW DELHI 110002</v>
      </c>
      <c r="F56" s="13" t="s">
        <v>127</v>
      </c>
      <c r="G56" s="12">
        <v>4</v>
      </c>
      <c r="H56" s="12">
        <v>6</v>
      </c>
      <c r="I56" s="12" t="s">
        <v>164</v>
      </c>
      <c r="J56" s="12" t="s">
        <v>24</v>
      </c>
      <c r="K56" s="12">
        <f t="shared" si="6"/>
        <v>150</v>
      </c>
      <c r="L56" s="22">
        <v>4400</v>
      </c>
      <c r="M56" s="18" t="s">
        <v>157</v>
      </c>
      <c r="N56" s="18"/>
    </row>
    <row r="57" spans="1:14" ht="58" hidden="1" x14ac:dyDescent="0.35">
      <c r="A57" s="12">
        <v>56</v>
      </c>
      <c r="B57" s="12" t="s">
        <v>168</v>
      </c>
      <c r="C57" s="13" t="s">
        <v>128</v>
      </c>
      <c r="D57" s="13" t="s">
        <v>133</v>
      </c>
      <c r="E57" s="17" t="str">
        <f t="shared" si="4"/>
        <v>4/6, ASAF ALI ROAD, NEW DELHI 110002</v>
      </c>
      <c r="F57" s="13" t="s">
        <v>127</v>
      </c>
      <c r="G57" s="12">
        <v>4</v>
      </c>
      <c r="H57" s="12">
        <v>6</v>
      </c>
      <c r="I57" s="12" t="s">
        <v>165</v>
      </c>
      <c r="J57" s="12" t="s">
        <v>24</v>
      </c>
      <c r="K57" s="12">
        <f t="shared" si="6"/>
        <v>130</v>
      </c>
      <c r="L57" s="22">
        <v>4000</v>
      </c>
      <c r="M57" s="18" t="s">
        <v>158</v>
      </c>
      <c r="N57" s="18"/>
    </row>
    <row r="58" spans="1:14" hidden="1" x14ac:dyDescent="0.35">
      <c r="A58" s="12">
        <v>57</v>
      </c>
      <c r="B58" s="12" t="s">
        <v>168</v>
      </c>
      <c r="C58" s="13" t="s">
        <v>128</v>
      </c>
      <c r="D58" s="13" t="s">
        <v>133</v>
      </c>
      <c r="E58" s="17" t="str">
        <f t="shared" si="4"/>
        <v>4/6, ASAF ALI ROAD, NEW DELHI 110002</v>
      </c>
      <c r="F58" s="13" t="s">
        <v>127</v>
      </c>
      <c r="G58" s="12">
        <v>4</v>
      </c>
      <c r="H58" s="12">
        <v>6</v>
      </c>
      <c r="I58" s="12" t="s">
        <v>163</v>
      </c>
      <c r="J58" s="12" t="s">
        <v>24</v>
      </c>
      <c r="K58" s="12">
        <f t="shared" si="6"/>
        <v>20</v>
      </c>
      <c r="L58" s="22">
        <v>600</v>
      </c>
      <c r="M58" s="18"/>
      <c r="N58" s="18"/>
    </row>
    <row r="59" spans="1:14" hidden="1" x14ac:dyDescent="0.35">
      <c r="A59" s="12">
        <v>58</v>
      </c>
      <c r="B59" s="12" t="s">
        <v>168</v>
      </c>
      <c r="C59" s="13" t="s">
        <v>128</v>
      </c>
      <c r="D59" s="13" t="s">
        <v>133</v>
      </c>
      <c r="E59" s="17" t="str">
        <f t="shared" si="4"/>
        <v>4/6, ASAF ALI ROAD, NEW DELHI 110002</v>
      </c>
      <c r="F59" s="13" t="s">
        <v>127</v>
      </c>
      <c r="G59" s="12">
        <v>4</v>
      </c>
      <c r="H59" s="12">
        <v>6</v>
      </c>
      <c r="I59" s="12" t="s">
        <v>163</v>
      </c>
      <c r="J59" s="12" t="s">
        <v>14</v>
      </c>
      <c r="K59" s="12">
        <f t="shared" si="6"/>
        <v>20</v>
      </c>
      <c r="L59" s="22">
        <v>600</v>
      </c>
      <c r="M59" s="18"/>
      <c r="N59" s="18"/>
    </row>
    <row r="60" spans="1:14" ht="58" hidden="1" x14ac:dyDescent="0.35">
      <c r="A60" s="12">
        <v>59</v>
      </c>
      <c r="B60" s="12" t="s">
        <v>168</v>
      </c>
      <c r="C60" s="13" t="s">
        <v>128</v>
      </c>
      <c r="D60" s="13" t="s">
        <v>133</v>
      </c>
      <c r="E60" s="17" t="str">
        <f t="shared" si="4"/>
        <v>4/8, ASAF ALI ROAD, NEW DELHI 110002</v>
      </c>
      <c r="F60" s="13" t="s">
        <v>127</v>
      </c>
      <c r="G60" s="12">
        <v>4</v>
      </c>
      <c r="H60" s="12">
        <v>8</v>
      </c>
      <c r="I60" s="12" t="s">
        <v>164</v>
      </c>
      <c r="J60" s="12" t="s">
        <v>24</v>
      </c>
      <c r="K60" s="12">
        <f t="shared" si="6"/>
        <v>150</v>
      </c>
      <c r="L60" s="22">
        <v>4400</v>
      </c>
      <c r="M60" s="18" t="s">
        <v>159</v>
      </c>
      <c r="N60" s="18"/>
    </row>
    <row r="61" spans="1:14" ht="58" hidden="1" x14ac:dyDescent="0.35">
      <c r="A61" s="12">
        <v>60</v>
      </c>
      <c r="B61" s="12" t="s">
        <v>168</v>
      </c>
      <c r="C61" s="13" t="s">
        <v>128</v>
      </c>
      <c r="D61" s="13" t="s">
        <v>133</v>
      </c>
      <c r="E61" s="17" t="str">
        <f t="shared" si="4"/>
        <v>4/8, ASAF ALI ROAD, NEW DELHI 110002</v>
      </c>
      <c r="F61" s="13" t="s">
        <v>127</v>
      </c>
      <c r="G61" s="12">
        <v>4</v>
      </c>
      <c r="H61" s="12">
        <v>8</v>
      </c>
      <c r="I61" s="12" t="s">
        <v>165</v>
      </c>
      <c r="J61" s="12" t="s">
        <v>24</v>
      </c>
      <c r="K61" s="12">
        <f t="shared" si="6"/>
        <v>130</v>
      </c>
      <c r="L61" s="22">
        <v>4000</v>
      </c>
      <c r="M61" s="18" t="s">
        <v>160</v>
      </c>
      <c r="N61" s="18"/>
    </row>
    <row r="62" spans="1:14" hidden="1" x14ac:dyDescent="0.35">
      <c r="A62" s="23"/>
      <c r="B62" s="23"/>
      <c r="C62" s="23"/>
      <c r="D62" s="24"/>
      <c r="E62" s="25"/>
      <c r="F62" s="24"/>
      <c r="G62" s="23"/>
      <c r="H62" s="23"/>
      <c r="I62" s="23"/>
      <c r="J62" s="23"/>
      <c r="K62" s="23"/>
      <c r="L62" s="26"/>
      <c r="M62" s="27"/>
      <c r="N62" s="27"/>
    </row>
    <row r="63" spans="1:14" hidden="1" x14ac:dyDescent="0.35"/>
    <row r="64" spans="1:14" hidden="1" x14ac:dyDescent="0.35"/>
    <row r="65" hidden="1" x14ac:dyDescent="0.35"/>
    <row r="66" hidden="1" x14ac:dyDescent="0.35"/>
    <row r="67" hidden="1" x14ac:dyDescent="0.35"/>
    <row r="68" hidden="1" x14ac:dyDescent="0.35"/>
    <row r="69" hidden="1" x14ac:dyDescent="0.35"/>
    <row r="70" hidden="1" x14ac:dyDescent="0.35"/>
    <row r="71" hidden="1" x14ac:dyDescent="0.35"/>
    <row r="72" hidden="1" x14ac:dyDescent="0.35"/>
    <row r="73" hidden="1" x14ac:dyDescent="0.35"/>
    <row r="74" hidden="1" x14ac:dyDescent="0.35"/>
    <row r="75" hidden="1" x14ac:dyDescent="0.35"/>
    <row r="76" hidden="1" x14ac:dyDescent="0.35"/>
    <row r="77" hidden="1" x14ac:dyDescent="0.35"/>
    <row r="78" hidden="1" x14ac:dyDescent="0.35"/>
    <row r="79" hidden="1" x14ac:dyDescent="0.35"/>
    <row r="80" hidden="1" x14ac:dyDescent="0.35"/>
    <row r="81" hidden="1" x14ac:dyDescent="0.35"/>
    <row r="82" hidden="1" x14ac:dyDescent="0.35"/>
    <row r="83" hidden="1" x14ac:dyDescent="0.35"/>
    <row r="84" hidden="1" x14ac:dyDescent="0.35"/>
    <row r="85" hidden="1" x14ac:dyDescent="0.35"/>
    <row r="86" hidden="1" x14ac:dyDescent="0.35"/>
    <row r="87" hidden="1" x14ac:dyDescent="0.35"/>
    <row r="88" hidden="1" x14ac:dyDescent="0.35"/>
    <row r="89" hidden="1" x14ac:dyDescent="0.35"/>
    <row r="90" hidden="1" x14ac:dyDescent="0.35"/>
    <row r="91" hidden="1" x14ac:dyDescent="0.35"/>
    <row r="92" hidden="1" x14ac:dyDescent="0.35"/>
    <row r="93" hidden="1" x14ac:dyDescent="0.35"/>
    <row r="94" hidden="1" x14ac:dyDescent="0.35"/>
  </sheetData>
  <autoFilter ref="A1:N94" xr:uid="{B4AA1757-C6FA-41B0-B6C4-B65EA5A105FD}">
    <filterColumn colId="11">
      <filters>
        <filter val="100"/>
        <filter val="120"/>
        <filter val="160"/>
        <filter val="180"/>
        <filter val="200"/>
        <filter val="50"/>
        <filter val="80"/>
      </filters>
    </filterColumn>
  </autoFilter>
  <hyperlinks>
    <hyperlink ref="M4" r:id="rId1" xr:uid="{E077DA29-7016-4417-9676-AF1BBFBDD431}"/>
    <hyperlink ref="M9" r:id="rId2" xr:uid="{0A601813-7768-4F7B-8D55-003280645AD1}"/>
    <hyperlink ref="M14" r:id="rId3" xr:uid="{81DC63EC-E8A7-49FB-81E1-846DF3AF45DC}"/>
    <hyperlink ref="M16" r:id="rId4" xr:uid="{B5393E66-B61A-412F-80F9-A776DAE56EA1}"/>
    <hyperlink ref="M20" r:id="rId5" xr:uid="{5D848387-D011-4AB7-BDCE-A909D11412D6}"/>
    <hyperlink ref="M17" r:id="rId6" xr:uid="{23F05E9F-3EA9-408A-8932-A4B6AC21E5D9}"/>
    <hyperlink ref="M22" r:id="rId7" xr:uid="{F6DFCD3D-1969-41F7-AED5-40F7D6A2508A}"/>
    <hyperlink ref="M55" r:id="rId8" xr:uid="{664B5D48-846C-432A-B748-A39DC35B4629}"/>
    <hyperlink ref="M15" r:id="rId9" xr:uid="{79FB88FE-9619-408F-8CA3-B0A3EB9AFFE8}"/>
    <hyperlink ref="M12" r:id="rId10" xr:uid="{F0688488-26E0-4A3D-AF05-E4E86911C096}"/>
    <hyperlink ref="N12" r:id="rId11" xr:uid="{CBB485E4-D4C1-4440-8E05-521FBA3438AA}"/>
    <hyperlink ref="M48" r:id="rId12" xr:uid="{B3EB011A-E74A-406C-B8D9-78D5F62455D8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89" orientation="portrait"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2082-7B13-4209-8B69-7CB3EF713238}">
  <sheetPr filterMode="1"/>
  <dimension ref="A1:L47"/>
  <sheetViews>
    <sheetView workbookViewId="0">
      <selection activeCell="H55" sqref="H55"/>
    </sheetView>
  </sheetViews>
  <sheetFormatPr defaultRowHeight="14.5" x14ac:dyDescent="0.35"/>
  <cols>
    <col min="1" max="1" width="10.54296875" bestFit="1" customWidth="1"/>
    <col min="2" max="2" width="43.81640625" bestFit="1" customWidth="1"/>
    <col min="3" max="3" width="13.54296875" bestFit="1" customWidth="1"/>
    <col min="4" max="4" width="24.54296875" bestFit="1" customWidth="1"/>
    <col min="5" max="5" width="13.54296875" bestFit="1" customWidth="1"/>
    <col min="6" max="6" width="23.453125" bestFit="1" customWidth="1"/>
    <col min="7" max="7" width="11.54296875" bestFit="1" customWidth="1"/>
    <col min="8" max="8" width="11" bestFit="1" customWidth="1"/>
    <col min="9" max="9" width="11.54296875" bestFit="1" customWidth="1"/>
    <col min="10" max="10" width="14" bestFit="1" customWidth="1"/>
    <col min="11" max="11" width="9.1796875" style="7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8" t="s">
        <v>119</v>
      </c>
      <c r="L1" s="8" t="s">
        <v>119</v>
      </c>
    </row>
    <row r="2" spans="1:12" x14ac:dyDescent="0.35">
      <c r="G2" s="6"/>
      <c r="K2" s="7" t="s">
        <v>122</v>
      </c>
      <c r="L2" t="s">
        <v>123</v>
      </c>
    </row>
    <row r="7" spans="1:12" x14ac:dyDescent="0.3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8" t="s">
        <v>119</v>
      </c>
    </row>
    <row r="8" spans="1:12" hidden="1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8" t="s">
        <v>119</v>
      </c>
    </row>
    <row r="9" spans="1:12" hidden="1" x14ac:dyDescent="0.35">
      <c r="A9" s="2">
        <v>5</v>
      </c>
      <c r="B9" s="3" t="s">
        <v>20</v>
      </c>
      <c r="C9" s="3" t="s">
        <v>11</v>
      </c>
      <c r="D9" s="3" t="s">
        <v>21</v>
      </c>
      <c r="E9" s="3">
        <v>1</v>
      </c>
      <c r="F9" s="3">
        <v>7</v>
      </c>
      <c r="G9" s="3" t="s">
        <v>13</v>
      </c>
      <c r="H9" s="3" t="s">
        <v>24</v>
      </c>
      <c r="I9" s="2">
        <v>4000</v>
      </c>
      <c r="J9" s="3" t="s">
        <v>15</v>
      </c>
      <c r="K9" s="9">
        <f>+ROUND(I9/30,-1)</f>
        <v>130</v>
      </c>
    </row>
    <row r="10" spans="1:12" hidden="1" x14ac:dyDescent="0.35">
      <c r="A10" s="2">
        <v>8</v>
      </c>
      <c r="B10" s="3" t="s">
        <v>29</v>
      </c>
      <c r="C10" s="3" t="s">
        <v>11</v>
      </c>
      <c r="D10" s="3" t="s">
        <v>21</v>
      </c>
      <c r="E10" s="3">
        <v>1</v>
      </c>
      <c r="F10" s="3">
        <v>9</v>
      </c>
      <c r="G10" s="3" t="s">
        <v>13</v>
      </c>
      <c r="H10" s="3" t="s">
        <v>14</v>
      </c>
      <c r="I10" s="2">
        <v>1600</v>
      </c>
      <c r="J10" s="3" t="s">
        <v>15</v>
      </c>
      <c r="K10" s="9">
        <f t="shared" ref="K10:K47" si="0">+ROUND(I10/30,-1)</f>
        <v>50</v>
      </c>
    </row>
    <row r="11" spans="1:12" hidden="1" x14ac:dyDescent="0.35">
      <c r="A11" s="2">
        <v>10</v>
      </c>
      <c r="B11" s="3" t="s">
        <v>27</v>
      </c>
      <c r="C11" s="3" t="s">
        <v>11</v>
      </c>
      <c r="D11" s="3" t="s">
        <v>21</v>
      </c>
      <c r="E11" s="3">
        <v>1</v>
      </c>
      <c r="F11" s="3">
        <v>10</v>
      </c>
      <c r="G11" s="3" t="s">
        <v>32</v>
      </c>
      <c r="H11" s="3" t="s">
        <v>24</v>
      </c>
      <c r="I11" s="2">
        <v>2600</v>
      </c>
      <c r="J11" s="3" t="s">
        <v>33</v>
      </c>
      <c r="K11" s="9">
        <f t="shared" si="0"/>
        <v>90</v>
      </c>
    </row>
    <row r="12" spans="1:12" hidden="1" x14ac:dyDescent="0.35">
      <c r="A12" s="2">
        <v>143</v>
      </c>
      <c r="B12" s="3" t="s">
        <v>34</v>
      </c>
      <c r="C12" s="3" t="s">
        <v>11</v>
      </c>
      <c r="D12" s="3" t="s">
        <v>21</v>
      </c>
      <c r="E12" s="3">
        <v>1</v>
      </c>
      <c r="F12" s="3">
        <v>11</v>
      </c>
      <c r="G12" s="3" t="s">
        <v>32</v>
      </c>
      <c r="H12" s="3" t="s">
        <v>14</v>
      </c>
      <c r="I12" s="2">
        <v>2300</v>
      </c>
      <c r="J12" s="3" t="s">
        <v>36</v>
      </c>
      <c r="K12" s="9">
        <f t="shared" si="0"/>
        <v>80</v>
      </c>
    </row>
    <row r="13" spans="1:12" hidden="1" x14ac:dyDescent="0.35">
      <c r="A13" s="2">
        <v>144</v>
      </c>
      <c r="B13" s="3" t="s">
        <v>34</v>
      </c>
      <c r="C13" s="3" t="s">
        <v>11</v>
      </c>
      <c r="D13" s="3" t="s">
        <v>21</v>
      </c>
      <c r="E13" s="3">
        <v>1</v>
      </c>
      <c r="F13" s="3">
        <v>11</v>
      </c>
      <c r="G13" s="3" t="s">
        <v>18</v>
      </c>
      <c r="H13" s="3" t="s">
        <v>24</v>
      </c>
      <c r="I13" s="2">
        <v>3000</v>
      </c>
      <c r="J13" s="3" t="s">
        <v>36</v>
      </c>
      <c r="K13" s="9">
        <f t="shared" si="0"/>
        <v>100</v>
      </c>
    </row>
    <row r="14" spans="1:12" hidden="1" x14ac:dyDescent="0.35">
      <c r="A14" s="2">
        <v>145</v>
      </c>
      <c r="B14" s="3" t="s">
        <v>34</v>
      </c>
      <c r="C14" s="3" t="s">
        <v>11</v>
      </c>
      <c r="D14" s="3" t="s">
        <v>21</v>
      </c>
      <c r="E14" s="3">
        <v>1</v>
      </c>
      <c r="F14" s="3">
        <v>11</v>
      </c>
      <c r="G14" s="3" t="s">
        <v>13</v>
      </c>
      <c r="H14" s="3" t="s">
        <v>14</v>
      </c>
      <c r="I14" s="2">
        <v>2000</v>
      </c>
      <c r="J14" s="3" t="s">
        <v>36</v>
      </c>
      <c r="K14" s="9">
        <f t="shared" si="0"/>
        <v>70</v>
      </c>
    </row>
    <row r="15" spans="1:12" x14ac:dyDescent="0.35">
      <c r="A15" s="2">
        <v>14</v>
      </c>
      <c r="B15" s="3" t="s">
        <v>10</v>
      </c>
      <c r="C15" s="3" t="s">
        <v>11</v>
      </c>
      <c r="D15" s="3" t="s">
        <v>21</v>
      </c>
      <c r="E15" s="3">
        <v>1</v>
      </c>
      <c r="F15" s="3">
        <v>16</v>
      </c>
      <c r="G15" s="3" t="s">
        <v>37</v>
      </c>
      <c r="H15" s="3" t="s">
        <v>14</v>
      </c>
      <c r="I15" s="2">
        <v>600</v>
      </c>
      <c r="J15" s="3" t="s">
        <v>41</v>
      </c>
      <c r="K15" s="9">
        <f t="shared" si="0"/>
        <v>20</v>
      </c>
    </row>
    <row r="16" spans="1:12" hidden="1" x14ac:dyDescent="0.35">
      <c r="A16" s="2">
        <v>16</v>
      </c>
      <c r="B16" s="3" t="s">
        <v>10</v>
      </c>
      <c r="C16" s="3" t="s">
        <v>11</v>
      </c>
      <c r="D16" s="3" t="s">
        <v>21</v>
      </c>
      <c r="E16" s="3">
        <v>1</v>
      </c>
      <c r="F16" s="3">
        <v>16</v>
      </c>
      <c r="G16" s="3" t="s">
        <v>32</v>
      </c>
      <c r="H16" s="3" t="s">
        <v>24</v>
      </c>
      <c r="I16" s="2">
        <v>4600</v>
      </c>
      <c r="J16" s="3" t="s">
        <v>33</v>
      </c>
      <c r="K16" s="9">
        <f t="shared" si="0"/>
        <v>150</v>
      </c>
    </row>
    <row r="17" spans="1:11" hidden="1" x14ac:dyDescent="0.35">
      <c r="A17" s="2">
        <v>17</v>
      </c>
      <c r="B17" s="3" t="s">
        <v>42</v>
      </c>
      <c r="C17" s="3" t="s">
        <v>43</v>
      </c>
      <c r="D17" s="3" t="s">
        <v>21</v>
      </c>
      <c r="E17" s="3">
        <v>1</v>
      </c>
      <c r="F17" s="3">
        <v>21</v>
      </c>
      <c r="G17" s="3" t="s">
        <v>32</v>
      </c>
      <c r="H17" s="3" t="s">
        <v>24</v>
      </c>
      <c r="I17" s="2">
        <v>4423</v>
      </c>
      <c r="J17" s="3" t="s">
        <v>33</v>
      </c>
      <c r="K17" s="9">
        <f t="shared" si="0"/>
        <v>150</v>
      </c>
    </row>
    <row r="18" spans="1:11" hidden="1" x14ac:dyDescent="0.35">
      <c r="A18" s="2">
        <v>22</v>
      </c>
      <c r="B18" s="3" t="s">
        <v>42</v>
      </c>
      <c r="C18" s="3" t="s">
        <v>43</v>
      </c>
      <c r="D18" s="3" t="s">
        <v>21</v>
      </c>
      <c r="E18" s="3">
        <v>1</v>
      </c>
      <c r="F18" s="3">
        <v>21</v>
      </c>
      <c r="G18" s="3" t="s">
        <v>37</v>
      </c>
      <c r="H18" s="3" t="s">
        <v>24</v>
      </c>
      <c r="I18" s="2">
        <v>4423</v>
      </c>
      <c r="J18" s="3" t="s">
        <v>36</v>
      </c>
      <c r="K18" s="9">
        <f t="shared" si="0"/>
        <v>150</v>
      </c>
    </row>
    <row r="19" spans="1:11" hidden="1" x14ac:dyDescent="0.35">
      <c r="A19" s="2">
        <v>24</v>
      </c>
      <c r="B19" s="3" t="s">
        <v>29</v>
      </c>
      <c r="C19" s="3" t="s">
        <v>43</v>
      </c>
      <c r="D19" s="3" t="s">
        <v>21</v>
      </c>
      <c r="E19" s="3">
        <v>1</v>
      </c>
      <c r="F19" s="3">
        <v>21</v>
      </c>
      <c r="G19" s="3" t="s">
        <v>13</v>
      </c>
      <c r="H19" s="3" t="s">
        <v>24</v>
      </c>
      <c r="I19" s="2">
        <v>4623</v>
      </c>
      <c r="J19" s="3" t="s">
        <v>15</v>
      </c>
      <c r="K19" s="9">
        <f t="shared" si="0"/>
        <v>150</v>
      </c>
    </row>
    <row r="20" spans="1:11" hidden="1" x14ac:dyDescent="0.35">
      <c r="A20" s="2">
        <v>25</v>
      </c>
      <c r="B20" s="3" t="s">
        <v>29</v>
      </c>
      <c r="C20" s="3" t="s">
        <v>43</v>
      </c>
      <c r="D20" s="3" t="s">
        <v>21</v>
      </c>
      <c r="E20" s="3">
        <v>1</v>
      </c>
      <c r="F20" s="3">
        <v>21</v>
      </c>
      <c r="G20" s="3" t="s">
        <v>23</v>
      </c>
      <c r="H20" s="3" t="s">
        <v>24</v>
      </c>
      <c r="I20" s="2">
        <v>4623</v>
      </c>
      <c r="J20" s="3" t="s">
        <v>25</v>
      </c>
      <c r="K20" s="9">
        <f t="shared" si="0"/>
        <v>150</v>
      </c>
    </row>
    <row r="21" spans="1:11" hidden="1" x14ac:dyDescent="0.35">
      <c r="A21" s="2">
        <v>26</v>
      </c>
      <c r="B21" s="3" t="s">
        <v>10</v>
      </c>
      <c r="C21" s="3" t="s">
        <v>43</v>
      </c>
      <c r="D21" s="3" t="s">
        <v>21</v>
      </c>
      <c r="E21" s="3">
        <v>1</v>
      </c>
      <c r="F21" s="3">
        <v>21</v>
      </c>
      <c r="G21" s="3" t="s">
        <v>18</v>
      </c>
      <c r="H21" s="3" t="s">
        <v>24</v>
      </c>
      <c r="I21" s="2">
        <v>4823</v>
      </c>
      <c r="J21" s="5" t="s">
        <v>19</v>
      </c>
      <c r="K21" s="9">
        <f t="shared" si="0"/>
        <v>160</v>
      </c>
    </row>
    <row r="22" spans="1:11" x14ac:dyDescent="0.35">
      <c r="A22" s="2">
        <v>36</v>
      </c>
      <c r="B22" s="3" t="s">
        <v>116</v>
      </c>
      <c r="C22" s="3" t="s">
        <v>11</v>
      </c>
      <c r="D22" s="3" t="s">
        <v>21</v>
      </c>
      <c r="E22" s="3">
        <v>3</v>
      </c>
      <c r="F22" s="3">
        <v>8</v>
      </c>
      <c r="G22" s="3" t="s">
        <v>23</v>
      </c>
      <c r="H22" s="3" t="s">
        <v>14</v>
      </c>
      <c r="I22" s="2">
        <v>200</v>
      </c>
      <c r="J22" s="3" t="s">
        <v>86</v>
      </c>
      <c r="K22" s="9">
        <f t="shared" si="0"/>
        <v>10</v>
      </c>
    </row>
    <row r="23" spans="1:11" x14ac:dyDescent="0.35">
      <c r="A23" s="2">
        <v>37</v>
      </c>
      <c r="B23" s="3" t="s">
        <v>116</v>
      </c>
      <c r="C23" s="3" t="s">
        <v>72</v>
      </c>
      <c r="D23" s="3" t="s">
        <v>21</v>
      </c>
      <c r="E23" s="3">
        <v>3</v>
      </c>
      <c r="F23" s="3">
        <v>8</v>
      </c>
      <c r="G23" s="3" t="s">
        <v>87</v>
      </c>
      <c r="H23" s="3" t="s">
        <v>24</v>
      </c>
      <c r="I23" s="2">
        <v>300</v>
      </c>
      <c r="J23" s="3" t="s">
        <v>88</v>
      </c>
      <c r="K23" s="9">
        <f t="shared" si="0"/>
        <v>10</v>
      </c>
    </row>
    <row r="24" spans="1:11" hidden="1" x14ac:dyDescent="0.35">
      <c r="A24" s="2">
        <v>38</v>
      </c>
      <c r="B24" s="3" t="s">
        <v>42</v>
      </c>
      <c r="C24" s="3" t="s">
        <v>72</v>
      </c>
      <c r="D24" s="3" t="s">
        <v>21</v>
      </c>
      <c r="E24" s="3">
        <v>3</v>
      </c>
      <c r="F24" s="3">
        <v>8</v>
      </c>
      <c r="G24" s="3" t="s">
        <v>23</v>
      </c>
      <c r="H24" s="3" t="s">
        <v>24</v>
      </c>
      <c r="I24" s="2">
        <v>50</v>
      </c>
      <c r="J24" s="3" t="s">
        <v>89</v>
      </c>
      <c r="K24" s="10" t="s">
        <v>120</v>
      </c>
    </row>
    <row r="25" spans="1:11" hidden="1" x14ac:dyDescent="0.35">
      <c r="A25" s="2">
        <v>39</v>
      </c>
      <c r="B25" s="3" t="s">
        <v>90</v>
      </c>
      <c r="C25" s="3" t="s">
        <v>72</v>
      </c>
      <c r="D25" s="3" t="s">
        <v>21</v>
      </c>
      <c r="E25" s="3">
        <v>3</v>
      </c>
      <c r="F25" s="3">
        <v>8</v>
      </c>
      <c r="G25" s="3" t="s">
        <v>23</v>
      </c>
      <c r="H25" s="3" t="s">
        <v>24</v>
      </c>
      <c r="I25" s="2">
        <v>50</v>
      </c>
      <c r="J25" s="3" t="s">
        <v>91</v>
      </c>
      <c r="K25" s="10" t="s">
        <v>120</v>
      </c>
    </row>
    <row r="26" spans="1:11" x14ac:dyDescent="0.35">
      <c r="A26" s="2">
        <v>41</v>
      </c>
      <c r="B26" s="3" t="s">
        <v>42</v>
      </c>
      <c r="C26" s="3" t="s">
        <v>11</v>
      </c>
      <c r="D26" s="3" t="s">
        <v>21</v>
      </c>
      <c r="E26" s="3">
        <v>3</v>
      </c>
      <c r="F26" s="3">
        <v>8</v>
      </c>
      <c r="G26" s="3" t="s">
        <v>23</v>
      </c>
      <c r="H26" s="3" t="s">
        <v>24</v>
      </c>
      <c r="I26" s="2">
        <v>300</v>
      </c>
      <c r="J26" s="3" t="s">
        <v>92</v>
      </c>
      <c r="K26" s="9">
        <f t="shared" si="0"/>
        <v>10</v>
      </c>
    </row>
    <row r="27" spans="1:11" x14ac:dyDescent="0.35">
      <c r="A27" s="2">
        <v>43</v>
      </c>
      <c r="B27" s="3" t="s">
        <v>42</v>
      </c>
      <c r="C27" s="3" t="s">
        <v>11</v>
      </c>
      <c r="D27" s="3" t="s">
        <v>21</v>
      </c>
      <c r="E27" s="3">
        <v>3</v>
      </c>
      <c r="F27" s="3">
        <v>8</v>
      </c>
      <c r="G27" s="3" t="s">
        <v>23</v>
      </c>
      <c r="H27" s="3" t="s">
        <v>14</v>
      </c>
      <c r="I27" s="2">
        <v>600</v>
      </c>
      <c r="J27" s="3" t="s">
        <v>93</v>
      </c>
      <c r="K27" s="9">
        <f t="shared" si="0"/>
        <v>20</v>
      </c>
    </row>
    <row r="28" spans="1:11" x14ac:dyDescent="0.35">
      <c r="A28" s="2">
        <v>44</v>
      </c>
      <c r="B28" s="3" t="s">
        <v>42</v>
      </c>
      <c r="C28" s="3" t="s">
        <v>11</v>
      </c>
      <c r="D28" s="3" t="s">
        <v>21</v>
      </c>
      <c r="E28" s="3">
        <v>3</v>
      </c>
      <c r="F28" s="3">
        <v>8</v>
      </c>
      <c r="G28" s="3" t="s">
        <v>23</v>
      </c>
      <c r="H28" s="3" t="s">
        <v>14</v>
      </c>
      <c r="I28" s="2">
        <v>600</v>
      </c>
      <c r="J28" s="3" t="s">
        <v>25</v>
      </c>
      <c r="K28" s="9">
        <f t="shared" si="0"/>
        <v>20</v>
      </c>
    </row>
    <row r="29" spans="1:11" hidden="1" x14ac:dyDescent="0.35">
      <c r="A29" s="2">
        <v>46</v>
      </c>
      <c r="B29" s="3" t="s">
        <v>116</v>
      </c>
      <c r="C29" s="3" t="s">
        <v>11</v>
      </c>
      <c r="D29" s="3" t="s">
        <v>21</v>
      </c>
      <c r="E29" s="3">
        <v>3</v>
      </c>
      <c r="F29" s="3">
        <v>8</v>
      </c>
      <c r="G29" s="3" t="s">
        <v>23</v>
      </c>
      <c r="H29" s="3" t="s">
        <v>14</v>
      </c>
      <c r="I29" s="2">
        <v>100</v>
      </c>
      <c r="J29" s="3" t="s">
        <v>95</v>
      </c>
      <c r="K29" s="10" t="s">
        <v>121</v>
      </c>
    </row>
    <row r="30" spans="1:11" hidden="1" x14ac:dyDescent="0.35">
      <c r="A30" s="2">
        <v>47</v>
      </c>
      <c r="B30" s="3" t="s">
        <v>90</v>
      </c>
      <c r="C30" s="3" t="s">
        <v>72</v>
      </c>
      <c r="D30" s="3" t="s">
        <v>21</v>
      </c>
      <c r="E30" s="3">
        <v>3</v>
      </c>
      <c r="F30" s="3">
        <v>8</v>
      </c>
      <c r="G30" s="3" t="s">
        <v>23</v>
      </c>
      <c r="H30" s="3" t="s">
        <v>14</v>
      </c>
      <c r="I30" s="2">
        <v>100</v>
      </c>
      <c r="J30" s="3" t="s">
        <v>96</v>
      </c>
      <c r="K30" s="10" t="s">
        <v>121</v>
      </c>
    </row>
    <row r="31" spans="1:11" x14ac:dyDescent="0.35">
      <c r="A31" s="2">
        <v>48</v>
      </c>
      <c r="B31" s="3" t="s">
        <v>97</v>
      </c>
      <c r="C31" s="3" t="s">
        <v>72</v>
      </c>
      <c r="D31" s="3" t="s">
        <v>21</v>
      </c>
      <c r="E31" s="3">
        <v>3</v>
      </c>
      <c r="F31" s="3">
        <v>8</v>
      </c>
      <c r="G31" s="3" t="s">
        <v>23</v>
      </c>
      <c r="H31" s="3" t="s">
        <v>14</v>
      </c>
      <c r="I31" s="2">
        <v>200</v>
      </c>
      <c r="J31" s="3" t="s">
        <v>98</v>
      </c>
      <c r="K31" s="9">
        <f t="shared" si="0"/>
        <v>10</v>
      </c>
    </row>
    <row r="32" spans="1:11" x14ac:dyDescent="0.35">
      <c r="A32" s="2">
        <v>49</v>
      </c>
      <c r="B32" s="3" t="s">
        <v>42</v>
      </c>
      <c r="C32" s="3" t="s">
        <v>11</v>
      </c>
      <c r="D32" s="3" t="s">
        <v>21</v>
      </c>
      <c r="E32" s="3">
        <v>3</v>
      </c>
      <c r="F32" s="3">
        <v>8</v>
      </c>
      <c r="G32" s="3" t="s">
        <v>23</v>
      </c>
      <c r="H32" s="3" t="s">
        <v>24</v>
      </c>
      <c r="I32" s="2">
        <v>300</v>
      </c>
      <c r="J32" s="3" t="s">
        <v>99</v>
      </c>
      <c r="K32" s="9">
        <f t="shared" si="0"/>
        <v>10</v>
      </c>
    </row>
    <row r="33" spans="1:11" hidden="1" x14ac:dyDescent="0.35">
      <c r="A33" s="2">
        <v>55</v>
      </c>
      <c r="B33" s="3" t="s">
        <v>42</v>
      </c>
      <c r="C33" s="3" t="s">
        <v>11</v>
      </c>
      <c r="D33" s="3" t="s">
        <v>21</v>
      </c>
      <c r="E33" s="3">
        <v>3</v>
      </c>
      <c r="F33" s="3">
        <v>12</v>
      </c>
      <c r="G33" s="3" t="s">
        <v>18</v>
      </c>
      <c r="H33" s="3" t="s">
        <v>14</v>
      </c>
      <c r="I33" s="2">
        <v>100</v>
      </c>
      <c r="J33" s="3" t="s">
        <v>50</v>
      </c>
      <c r="K33" s="10" t="s">
        <v>121</v>
      </c>
    </row>
    <row r="34" spans="1:11" hidden="1" x14ac:dyDescent="0.35">
      <c r="A34" s="2">
        <v>58</v>
      </c>
      <c r="B34" s="3" t="s">
        <v>42</v>
      </c>
      <c r="C34" s="3" t="s">
        <v>11</v>
      </c>
      <c r="D34" s="3" t="s">
        <v>21</v>
      </c>
      <c r="E34" s="3">
        <v>3</v>
      </c>
      <c r="F34" s="3">
        <v>12</v>
      </c>
      <c r="G34" s="3" t="s">
        <v>18</v>
      </c>
      <c r="H34" s="3" t="s">
        <v>14</v>
      </c>
      <c r="I34" s="2">
        <v>100</v>
      </c>
      <c r="J34" s="3" t="s">
        <v>19</v>
      </c>
      <c r="K34" s="10" t="s">
        <v>121</v>
      </c>
    </row>
    <row r="35" spans="1:11" x14ac:dyDescent="0.35">
      <c r="A35" s="2">
        <v>61</v>
      </c>
      <c r="B35" s="3" t="s">
        <v>42</v>
      </c>
      <c r="C35" s="3" t="s">
        <v>11</v>
      </c>
      <c r="D35" s="3" t="s">
        <v>21</v>
      </c>
      <c r="E35" s="3">
        <v>3</v>
      </c>
      <c r="F35" s="3">
        <v>12</v>
      </c>
      <c r="G35" s="3" t="s">
        <v>18</v>
      </c>
      <c r="H35" s="3" t="s">
        <v>14</v>
      </c>
      <c r="I35" s="2">
        <v>200</v>
      </c>
      <c r="J35" s="3" t="s">
        <v>48</v>
      </c>
      <c r="K35" s="9">
        <f t="shared" si="0"/>
        <v>10</v>
      </c>
    </row>
    <row r="36" spans="1:11" hidden="1" x14ac:dyDescent="0.35">
      <c r="A36" s="2">
        <v>62</v>
      </c>
      <c r="B36" s="3" t="s">
        <v>42</v>
      </c>
      <c r="C36" s="3" t="s">
        <v>11</v>
      </c>
      <c r="D36" s="3" t="s">
        <v>21</v>
      </c>
      <c r="E36" s="3">
        <v>3</v>
      </c>
      <c r="F36" s="3">
        <v>12</v>
      </c>
      <c r="G36" s="3" t="s">
        <v>18</v>
      </c>
      <c r="H36" s="3" t="s">
        <v>14</v>
      </c>
      <c r="I36" s="2">
        <v>100</v>
      </c>
      <c r="J36" s="3" t="s">
        <v>45</v>
      </c>
      <c r="K36" s="10" t="s">
        <v>121</v>
      </c>
    </row>
    <row r="37" spans="1:11" hidden="1" x14ac:dyDescent="0.35">
      <c r="A37" s="2">
        <v>65</v>
      </c>
      <c r="B37" s="3" t="s">
        <v>106</v>
      </c>
      <c r="C37" s="3" t="s">
        <v>11</v>
      </c>
      <c r="D37" s="3" t="s">
        <v>21</v>
      </c>
      <c r="E37" s="3">
        <v>3</v>
      </c>
      <c r="F37" s="3">
        <v>12</v>
      </c>
      <c r="G37" s="3" t="s">
        <v>32</v>
      </c>
      <c r="H37" s="3" t="s">
        <v>14</v>
      </c>
      <c r="I37" s="2">
        <v>800</v>
      </c>
      <c r="J37" s="3" t="s">
        <v>33</v>
      </c>
      <c r="K37" s="9">
        <f t="shared" si="0"/>
        <v>30</v>
      </c>
    </row>
    <row r="38" spans="1:11" x14ac:dyDescent="0.35">
      <c r="A38" s="2">
        <v>70</v>
      </c>
      <c r="B38" s="3" t="s">
        <v>106</v>
      </c>
      <c r="C38" s="3" t="s">
        <v>11</v>
      </c>
      <c r="D38" s="3" t="s">
        <v>21</v>
      </c>
      <c r="E38" s="3">
        <v>3</v>
      </c>
      <c r="F38" s="3">
        <v>12</v>
      </c>
      <c r="G38" s="3" t="s">
        <v>32</v>
      </c>
      <c r="H38" s="3" t="s">
        <v>14</v>
      </c>
      <c r="I38" s="2">
        <v>300</v>
      </c>
      <c r="J38" s="3" t="s">
        <v>110</v>
      </c>
      <c r="K38" s="9">
        <f t="shared" si="0"/>
        <v>10</v>
      </c>
    </row>
    <row r="39" spans="1:11" hidden="1" x14ac:dyDescent="0.35">
      <c r="A39" s="2">
        <v>73</v>
      </c>
      <c r="B39" s="3" t="s">
        <v>27</v>
      </c>
      <c r="C39" s="3" t="s">
        <v>11</v>
      </c>
      <c r="D39" s="3" t="s">
        <v>21</v>
      </c>
      <c r="E39" s="3">
        <v>3</v>
      </c>
      <c r="F39" s="3">
        <v>12</v>
      </c>
      <c r="G39" s="3" t="s">
        <v>23</v>
      </c>
      <c r="H39" s="3" t="s">
        <v>14</v>
      </c>
      <c r="I39" s="2">
        <v>1300</v>
      </c>
      <c r="J39" s="3" t="s">
        <v>25</v>
      </c>
      <c r="K39" s="9">
        <f t="shared" si="0"/>
        <v>40</v>
      </c>
    </row>
    <row r="40" spans="1:11" hidden="1" x14ac:dyDescent="0.35">
      <c r="A40" s="2">
        <v>154</v>
      </c>
      <c r="B40" s="3" t="s">
        <v>103</v>
      </c>
      <c r="C40" s="3" t="s">
        <v>11</v>
      </c>
      <c r="D40" s="3" t="s">
        <v>21</v>
      </c>
      <c r="E40" s="3">
        <v>3</v>
      </c>
      <c r="F40" s="3">
        <v>14</v>
      </c>
      <c r="G40" s="3" t="s">
        <v>18</v>
      </c>
      <c r="H40" s="3" t="s">
        <v>14</v>
      </c>
      <c r="I40" s="2">
        <v>1900</v>
      </c>
      <c r="J40" s="3" t="s">
        <v>36</v>
      </c>
      <c r="K40" s="9">
        <f t="shared" si="0"/>
        <v>60</v>
      </c>
    </row>
    <row r="41" spans="1:11" hidden="1" x14ac:dyDescent="0.35">
      <c r="A41" s="2">
        <v>81</v>
      </c>
      <c r="B41" s="3" t="s">
        <v>29</v>
      </c>
      <c r="C41" s="3" t="s">
        <v>11</v>
      </c>
      <c r="D41" s="3" t="s">
        <v>21</v>
      </c>
      <c r="E41" s="3">
        <v>4</v>
      </c>
      <c r="F41" s="3">
        <v>6</v>
      </c>
      <c r="G41" s="3" t="s">
        <v>32</v>
      </c>
      <c r="H41" s="3" t="s">
        <v>24</v>
      </c>
      <c r="I41" s="2">
        <v>4000</v>
      </c>
      <c r="J41" s="3" t="s">
        <v>33</v>
      </c>
      <c r="K41" s="9">
        <f t="shared" si="0"/>
        <v>130</v>
      </c>
    </row>
    <row r="42" spans="1:11" hidden="1" x14ac:dyDescent="0.35">
      <c r="A42" s="2">
        <v>84</v>
      </c>
      <c r="B42" s="3" t="s">
        <v>29</v>
      </c>
      <c r="C42" s="3" t="s">
        <v>11</v>
      </c>
      <c r="D42" s="3" t="s">
        <v>21</v>
      </c>
      <c r="E42" s="3">
        <v>4</v>
      </c>
      <c r="F42" s="3">
        <v>6</v>
      </c>
      <c r="G42" s="3" t="s">
        <v>18</v>
      </c>
      <c r="H42" s="3" t="s">
        <v>24</v>
      </c>
      <c r="I42" s="2">
        <v>4000</v>
      </c>
      <c r="J42" s="3" t="s">
        <v>19</v>
      </c>
      <c r="K42" s="9">
        <f t="shared" si="0"/>
        <v>130</v>
      </c>
    </row>
    <row r="43" spans="1:11" hidden="1" x14ac:dyDescent="0.35">
      <c r="A43" s="2">
        <v>85</v>
      </c>
      <c r="B43" s="3" t="s">
        <v>29</v>
      </c>
      <c r="C43" s="3" t="s">
        <v>11</v>
      </c>
      <c r="D43" s="3" t="s">
        <v>21</v>
      </c>
      <c r="E43" s="3">
        <v>4</v>
      </c>
      <c r="F43" s="3">
        <v>6</v>
      </c>
      <c r="G43" s="3" t="s">
        <v>13</v>
      </c>
      <c r="H43" s="3" t="s">
        <v>24</v>
      </c>
      <c r="I43" s="2">
        <v>4000</v>
      </c>
      <c r="J43" s="3" t="s">
        <v>15</v>
      </c>
      <c r="K43" s="9">
        <f t="shared" si="0"/>
        <v>130</v>
      </c>
    </row>
    <row r="44" spans="1:11" x14ac:dyDescent="0.35">
      <c r="A44" s="2">
        <v>86</v>
      </c>
      <c r="B44" s="3" t="s">
        <v>29</v>
      </c>
      <c r="C44" s="3" t="s">
        <v>11</v>
      </c>
      <c r="D44" s="3" t="s">
        <v>21</v>
      </c>
      <c r="E44" s="3">
        <v>4</v>
      </c>
      <c r="F44" s="3">
        <v>6</v>
      </c>
      <c r="G44" s="3" t="s">
        <v>87</v>
      </c>
      <c r="H44" s="3" t="s">
        <v>24</v>
      </c>
      <c r="I44" s="2">
        <v>600</v>
      </c>
      <c r="J44" s="3" t="s">
        <v>88</v>
      </c>
      <c r="K44" s="9">
        <f t="shared" si="0"/>
        <v>20</v>
      </c>
    </row>
    <row r="45" spans="1:11" x14ac:dyDescent="0.35">
      <c r="A45" s="2">
        <v>87</v>
      </c>
      <c r="B45" s="3" t="s">
        <v>29</v>
      </c>
      <c r="C45" s="3" t="s">
        <v>11</v>
      </c>
      <c r="D45" s="3" t="s">
        <v>21</v>
      </c>
      <c r="E45" s="3">
        <v>4</v>
      </c>
      <c r="F45" s="3">
        <v>6</v>
      </c>
      <c r="G45" s="3" t="s">
        <v>87</v>
      </c>
      <c r="H45" s="3" t="s">
        <v>14</v>
      </c>
      <c r="I45" s="2">
        <v>600</v>
      </c>
      <c r="J45" s="3" t="s">
        <v>115</v>
      </c>
      <c r="K45" s="9">
        <f t="shared" si="0"/>
        <v>20</v>
      </c>
    </row>
    <row r="46" spans="1:11" hidden="1" x14ac:dyDescent="0.35">
      <c r="A46" s="2">
        <v>88</v>
      </c>
      <c r="B46" s="3" t="s">
        <v>42</v>
      </c>
      <c r="C46" s="3" t="s">
        <v>11</v>
      </c>
      <c r="D46" s="3" t="s">
        <v>21</v>
      </c>
      <c r="E46" s="3">
        <v>4</v>
      </c>
      <c r="F46" s="3">
        <v>8</v>
      </c>
      <c r="G46" s="3" t="s">
        <v>18</v>
      </c>
      <c r="H46" s="3" t="s">
        <v>24</v>
      </c>
      <c r="I46" s="2">
        <v>4000</v>
      </c>
      <c r="J46" s="3" t="s">
        <v>19</v>
      </c>
      <c r="K46" s="9">
        <f t="shared" si="0"/>
        <v>130</v>
      </c>
    </row>
    <row r="47" spans="1:11" hidden="1" x14ac:dyDescent="0.35">
      <c r="A47" s="2">
        <v>89</v>
      </c>
      <c r="B47" s="3" t="s">
        <v>42</v>
      </c>
      <c r="C47" s="3" t="s">
        <v>11</v>
      </c>
      <c r="D47" s="3" t="s">
        <v>21</v>
      </c>
      <c r="E47" s="3">
        <v>4</v>
      </c>
      <c r="F47" s="3">
        <v>8</v>
      </c>
      <c r="G47" s="3" t="s">
        <v>13</v>
      </c>
      <c r="H47" s="3" t="s">
        <v>24</v>
      </c>
      <c r="I47" s="2">
        <v>4000</v>
      </c>
      <c r="J47" s="3" t="s">
        <v>15</v>
      </c>
      <c r="K47" s="9">
        <f t="shared" si="0"/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B09C-14F8-400A-AD63-D43A40F00A7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976E-D3CC-4F94-A569-3D39EBD346C5}">
  <sheetPr filterMode="1"/>
  <dimension ref="A1:K126"/>
  <sheetViews>
    <sheetView workbookViewId="0">
      <selection activeCell="K1" sqref="K1:K7"/>
    </sheetView>
  </sheetViews>
  <sheetFormatPr defaultRowHeight="14.5" x14ac:dyDescent="0.35"/>
  <cols>
    <col min="1" max="1" width="10.54296875" bestFit="1" customWidth="1"/>
    <col min="2" max="2" width="43.81640625" bestFit="1" customWidth="1"/>
    <col min="3" max="3" width="13.54296875" bestFit="1" customWidth="1"/>
    <col min="4" max="4" width="24.54296875" bestFit="1" customWidth="1"/>
    <col min="5" max="5" width="13.54296875" bestFit="1" customWidth="1"/>
    <col min="6" max="6" width="23.453125" bestFit="1" customWidth="1"/>
    <col min="7" max="7" width="11.54296875" bestFit="1" customWidth="1"/>
    <col min="8" max="8" width="11" bestFit="1" customWidth="1"/>
    <col min="9" max="9" width="11.54296875" bestFit="1" customWidth="1"/>
    <col min="10" max="10" width="14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hidden="1" x14ac:dyDescent="0.35">
      <c r="A2" s="2">
        <v>3</v>
      </c>
      <c r="B2" s="3" t="s">
        <v>16</v>
      </c>
      <c r="C2" s="3" t="s">
        <v>11</v>
      </c>
      <c r="D2" s="3" t="s">
        <v>117</v>
      </c>
      <c r="E2" s="3" t="s">
        <v>12</v>
      </c>
      <c r="F2" s="3" t="s">
        <v>17</v>
      </c>
      <c r="G2" s="3" t="s">
        <v>18</v>
      </c>
      <c r="H2" s="3" t="s">
        <v>14</v>
      </c>
      <c r="I2" s="2">
        <v>1240</v>
      </c>
      <c r="J2" s="3" t="s">
        <v>19</v>
      </c>
    </row>
    <row r="3" spans="1:11" x14ac:dyDescent="0.35">
      <c r="A3" s="2">
        <v>4</v>
      </c>
      <c r="B3" s="3" t="s">
        <v>20</v>
      </c>
      <c r="C3" s="3" t="s">
        <v>11</v>
      </c>
      <c r="D3" s="3" t="s">
        <v>21</v>
      </c>
      <c r="E3" s="3" t="s">
        <v>12</v>
      </c>
      <c r="F3" s="3" t="s">
        <v>22</v>
      </c>
      <c r="G3" s="3" t="s">
        <v>23</v>
      </c>
      <c r="H3" s="3" t="s">
        <v>24</v>
      </c>
      <c r="I3" s="2">
        <v>3000</v>
      </c>
      <c r="J3" s="3" t="s">
        <v>25</v>
      </c>
      <c r="K3" s="4" t="s">
        <v>118</v>
      </c>
    </row>
    <row r="4" spans="1:11" x14ac:dyDescent="0.35">
      <c r="A4" s="2">
        <v>5</v>
      </c>
      <c r="B4" s="3" t="s">
        <v>20</v>
      </c>
      <c r="C4" s="3" t="s">
        <v>11</v>
      </c>
      <c r="D4" s="3" t="s">
        <v>21</v>
      </c>
      <c r="E4" s="3" t="s">
        <v>12</v>
      </c>
      <c r="F4" s="3" t="s">
        <v>22</v>
      </c>
      <c r="G4" s="3" t="s">
        <v>13</v>
      </c>
      <c r="H4" s="3" t="s">
        <v>24</v>
      </c>
      <c r="I4" s="2">
        <v>4000</v>
      </c>
      <c r="J4" s="3" t="s">
        <v>15</v>
      </c>
      <c r="K4" s="4" t="s">
        <v>118</v>
      </c>
    </row>
    <row r="5" spans="1:11" x14ac:dyDescent="0.35">
      <c r="A5" s="2">
        <v>6</v>
      </c>
      <c r="B5" s="3" t="s">
        <v>20</v>
      </c>
      <c r="C5" s="3" t="s">
        <v>11</v>
      </c>
      <c r="D5" s="3" t="s">
        <v>21</v>
      </c>
      <c r="E5" s="3" t="s">
        <v>12</v>
      </c>
      <c r="F5" s="3" t="s">
        <v>22</v>
      </c>
      <c r="G5" s="3" t="s">
        <v>23</v>
      </c>
      <c r="H5" s="3" t="s">
        <v>14</v>
      </c>
      <c r="I5" s="2">
        <v>600</v>
      </c>
      <c r="J5" s="3" t="s">
        <v>26</v>
      </c>
      <c r="K5" s="4" t="s">
        <v>118</v>
      </c>
    </row>
    <row r="6" spans="1:11" x14ac:dyDescent="0.35">
      <c r="A6" s="2">
        <v>7</v>
      </c>
      <c r="B6" s="3" t="s">
        <v>27</v>
      </c>
      <c r="C6" s="3" t="s">
        <v>11</v>
      </c>
      <c r="D6" s="3" t="s">
        <v>21</v>
      </c>
      <c r="E6" s="3" t="s">
        <v>12</v>
      </c>
      <c r="F6" s="3" t="s">
        <v>28</v>
      </c>
      <c r="G6" s="3" t="s">
        <v>23</v>
      </c>
      <c r="H6" s="3" t="s">
        <v>14</v>
      </c>
      <c r="I6" s="2">
        <v>4000</v>
      </c>
      <c r="J6" s="3" t="s">
        <v>25</v>
      </c>
    </row>
    <row r="7" spans="1:11" x14ac:dyDescent="0.35">
      <c r="A7" s="2">
        <v>8</v>
      </c>
      <c r="B7" s="3" t="s">
        <v>29</v>
      </c>
      <c r="C7" s="3" t="s">
        <v>11</v>
      </c>
      <c r="D7" s="3" t="s">
        <v>21</v>
      </c>
      <c r="E7" s="3" t="s">
        <v>12</v>
      </c>
      <c r="F7" s="3" t="s">
        <v>28</v>
      </c>
      <c r="G7" s="3" t="s">
        <v>13</v>
      </c>
      <c r="H7" s="3" t="s">
        <v>14</v>
      </c>
      <c r="I7" s="2">
        <v>1600</v>
      </c>
      <c r="J7" s="3" t="s">
        <v>15</v>
      </c>
    </row>
    <row r="8" spans="1:11" hidden="1" x14ac:dyDescent="0.35">
      <c r="A8" s="2">
        <v>9</v>
      </c>
      <c r="B8" s="3" t="s">
        <v>29</v>
      </c>
      <c r="C8" s="3" t="s">
        <v>11</v>
      </c>
      <c r="D8" s="3" t="s">
        <v>30</v>
      </c>
      <c r="E8" s="3" t="s">
        <v>12</v>
      </c>
      <c r="F8" s="3" t="s">
        <v>28</v>
      </c>
      <c r="G8" s="3" t="s">
        <v>18</v>
      </c>
      <c r="H8" s="3" t="s">
        <v>24</v>
      </c>
      <c r="I8" s="2">
        <v>1600</v>
      </c>
      <c r="J8" s="3" t="s">
        <v>19</v>
      </c>
    </row>
    <row r="9" spans="1:11" x14ac:dyDescent="0.35">
      <c r="A9" s="2">
        <v>10</v>
      </c>
      <c r="B9" s="3" t="s">
        <v>27</v>
      </c>
      <c r="C9" s="3" t="s">
        <v>11</v>
      </c>
      <c r="D9" s="3" t="s">
        <v>21</v>
      </c>
      <c r="E9" s="3" t="s">
        <v>12</v>
      </c>
      <c r="F9" s="3" t="s">
        <v>31</v>
      </c>
      <c r="G9" s="3" t="s">
        <v>32</v>
      </c>
      <c r="H9" s="3" t="s">
        <v>24</v>
      </c>
      <c r="I9" s="2">
        <v>2600</v>
      </c>
      <c r="J9" s="3" t="s">
        <v>33</v>
      </c>
    </row>
    <row r="10" spans="1:11" x14ac:dyDescent="0.35">
      <c r="A10" s="2">
        <v>11</v>
      </c>
      <c r="B10" s="3" t="s">
        <v>27</v>
      </c>
      <c r="C10" s="3" t="s">
        <v>11</v>
      </c>
      <c r="D10" s="3" t="s">
        <v>21</v>
      </c>
      <c r="E10" s="3" t="s">
        <v>12</v>
      </c>
      <c r="F10" s="3" t="s">
        <v>31</v>
      </c>
      <c r="G10" s="3" t="s">
        <v>23</v>
      </c>
      <c r="H10" s="3" t="s">
        <v>14</v>
      </c>
      <c r="I10" s="2">
        <v>1200</v>
      </c>
      <c r="J10" s="3" t="s">
        <v>25</v>
      </c>
    </row>
    <row r="11" spans="1:11" x14ac:dyDescent="0.35">
      <c r="A11" s="2">
        <v>143</v>
      </c>
      <c r="B11" s="3" t="s">
        <v>34</v>
      </c>
      <c r="C11" s="3" t="s">
        <v>11</v>
      </c>
      <c r="D11" s="3" t="s">
        <v>21</v>
      </c>
      <c r="E11" s="3" t="s">
        <v>12</v>
      </c>
      <c r="F11" s="3" t="s">
        <v>35</v>
      </c>
      <c r="G11" s="3" t="s">
        <v>32</v>
      </c>
      <c r="H11" s="3" t="s">
        <v>14</v>
      </c>
      <c r="I11" s="2">
        <v>2300</v>
      </c>
      <c r="J11" s="3" t="s">
        <v>36</v>
      </c>
    </row>
    <row r="12" spans="1:11" x14ac:dyDescent="0.35">
      <c r="A12" s="2">
        <v>144</v>
      </c>
      <c r="B12" s="3" t="s">
        <v>34</v>
      </c>
      <c r="C12" s="3" t="s">
        <v>11</v>
      </c>
      <c r="D12" s="3" t="s">
        <v>21</v>
      </c>
      <c r="E12" s="3" t="s">
        <v>12</v>
      </c>
      <c r="F12" s="3" t="s">
        <v>35</v>
      </c>
      <c r="G12" s="3" t="s">
        <v>18</v>
      </c>
      <c r="H12" s="3" t="s">
        <v>24</v>
      </c>
      <c r="I12" s="2">
        <v>3000</v>
      </c>
      <c r="J12" s="3" t="s">
        <v>36</v>
      </c>
    </row>
    <row r="13" spans="1:11" x14ac:dyDescent="0.35">
      <c r="A13" s="2">
        <v>145</v>
      </c>
      <c r="B13" s="3" t="s">
        <v>34</v>
      </c>
      <c r="C13" s="3" t="s">
        <v>11</v>
      </c>
      <c r="D13" s="3" t="s">
        <v>21</v>
      </c>
      <c r="E13" s="3" t="s">
        <v>12</v>
      </c>
      <c r="F13" s="3" t="s">
        <v>35</v>
      </c>
      <c r="G13" s="3" t="s">
        <v>13</v>
      </c>
      <c r="H13" s="3" t="s">
        <v>14</v>
      </c>
      <c r="I13" s="2">
        <v>2000</v>
      </c>
      <c r="J13" s="3" t="s">
        <v>36</v>
      </c>
    </row>
    <row r="14" spans="1:11" x14ac:dyDescent="0.35">
      <c r="A14" s="2">
        <v>146</v>
      </c>
      <c r="B14" s="3" t="s">
        <v>34</v>
      </c>
      <c r="C14" s="3" t="s">
        <v>11</v>
      </c>
      <c r="D14" s="3" t="s">
        <v>21</v>
      </c>
      <c r="E14" s="3" t="s">
        <v>12</v>
      </c>
      <c r="F14" s="3" t="s">
        <v>35</v>
      </c>
      <c r="G14" s="3" t="s">
        <v>23</v>
      </c>
      <c r="H14" s="3" t="s">
        <v>14</v>
      </c>
      <c r="I14" s="2">
        <v>2000</v>
      </c>
      <c r="J14" s="3" t="s">
        <v>36</v>
      </c>
    </row>
    <row r="15" spans="1:11" hidden="1" x14ac:dyDescent="0.35">
      <c r="A15" s="2">
        <v>148</v>
      </c>
      <c r="B15" s="3" t="s">
        <v>34</v>
      </c>
      <c r="C15" s="3" t="s">
        <v>11</v>
      </c>
      <c r="D15" s="3" t="s">
        <v>117</v>
      </c>
      <c r="E15" s="3" t="s">
        <v>12</v>
      </c>
      <c r="F15" s="3" t="s">
        <v>35</v>
      </c>
      <c r="G15" s="3" t="s">
        <v>37</v>
      </c>
      <c r="H15" s="3" t="s">
        <v>14</v>
      </c>
      <c r="I15" s="2">
        <v>2000</v>
      </c>
      <c r="J15" s="3" t="s">
        <v>36</v>
      </c>
    </row>
    <row r="16" spans="1:11" hidden="1" x14ac:dyDescent="0.35">
      <c r="A16" s="2">
        <v>150</v>
      </c>
      <c r="B16" s="3" t="s">
        <v>34</v>
      </c>
      <c r="C16" s="3" t="s">
        <v>11</v>
      </c>
      <c r="D16" s="3" t="s">
        <v>30</v>
      </c>
      <c r="E16" s="3" t="s">
        <v>12</v>
      </c>
      <c r="F16" s="3" t="s">
        <v>35</v>
      </c>
      <c r="G16" s="3" t="s">
        <v>18</v>
      </c>
      <c r="H16" s="3" t="s">
        <v>14</v>
      </c>
      <c r="I16" s="2">
        <v>1500</v>
      </c>
      <c r="J16" s="3" t="s">
        <v>38</v>
      </c>
    </row>
    <row r="17" spans="1:10" hidden="1" x14ac:dyDescent="0.35">
      <c r="A17" s="2">
        <v>151</v>
      </c>
      <c r="B17" s="3" t="s">
        <v>34</v>
      </c>
      <c r="C17" s="3" t="s">
        <v>11</v>
      </c>
      <c r="D17" s="3" t="s">
        <v>30</v>
      </c>
      <c r="E17" s="3" t="s">
        <v>12</v>
      </c>
      <c r="F17" s="3" t="s">
        <v>35</v>
      </c>
      <c r="G17" s="3" t="s">
        <v>13</v>
      </c>
      <c r="H17" s="3" t="s">
        <v>24</v>
      </c>
      <c r="I17" s="2">
        <v>250</v>
      </c>
      <c r="J17" s="3" t="s">
        <v>36</v>
      </c>
    </row>
    <row r="18" spans="1:10" hidden="1" x14ac:dyDescent="0.35">
      <c r="A18" s="2">
        <v>152</v>
      </c>
      <c r="B18" s="3" t="s">
        <v>34</v>
      </c>
      <c r="C18" s="3" t="s">
        <v>11</v>
      </c>
      <c r="D18" s="3" t="s">
        <v>30</v>
      </c>
      <c r="E18" s="3" t="s">
        <v>12</v>
      </c>
      <c r="F18" s="3" t="s">
        <v>35</v>
      </c>
      <c r="G18" s="3" t="s">
        <v>13</v>
      </c>
      <c r="H18" s="3" t="s">
        <v>24</v>
      </c>
      <c r="I18" s="2">
        <v>2000</v>
      </c>
      <c r="J18" s="3" t="s">
        <v>36</v>
      </c>
    </row>
    <row r="19" spans="1:10" hidden="1" x14ac:dyDescent="0.35">
      <c r="A19" s="2">
        <v>153</v>
      </c>
      <c r="B19" s="3" t="s">
        <v>34</v>
      </c>
      <c r="C19" s="3" t="s">
        <v>11</v>
      </c>
      <c r="D19" s="3" t="s">
        <v>30</v>
      </c>
      <c r="E19" s="3" t="s">
        <v>12</v>
      </c>
      <c r="F19" s="3" t="s">
        <v>35</v>
      </c>
      <c r="G19" s="3" t="s">
        <v>23</v>
      </c>
      <c r="H19" s="3" t="s">
        <v>24</v>
      </c>
      <c r="I19" s="2">
        <v>2000</v>
      </c>
      <c r="J19" s="3" t="s">
        <v>36</v>
      </c>
    </row>
    <row r="20" spans="1:10" x14ac:dyDescent="0.35">
      <c r="A20" s="2">
        <v>13</v>
      </c>
      <c r="B20" s="3" t="s">
        <v>10</v>
      </c>
      <c r="C20" s="3" t="s">
        <v>11</v>
      </c>
      <c r="D20" s="3" t="s">
        <v>21</v>
      </c>
      <c r="E20" s="3" t="s">
        <v>12</v>
      </c>
      <c r="F20" s="3" t="s">
        <v>39</v>
      </c>
      <c r="G20" s="3" t="s">
        <v>37</v>
      </c>
      <c r="H20" s="3" t="s">
        <v>14</v>
      </c>
      <c r="I20" s="2">
        <v>600</v>
      </c>
      <c r="J20" s="3" t="s">
        <v>40</v>
      </c>
    </row>
    <row r="21" spans="1:10" x14ac:dyDescent="0.35">
      <c r="A21" s="2">
        <v>14</v>
      </c>
      <c r="B21" s="3" t="s">
        <v>10</v>
      </c>
      <c r="C21" s="3" t="s">
        <v>11</v>
      </c>
      <c r="D21" s="3" t="s">
        <v>21</v>
      </c>
      <c r="E21" s="3" t="s">
        <v>12</v>
      </c>
      <c r="F21" s="3" t="s">
        <v>39</v>
      </c>
      <c r="G21" s="3" t="s">
        <v>37</v>
      </c>
      <c r="H21" s="3" t="s">
        <v>14</v>
      </c>
      <c r="I21" s="2">
        <v>600</v>
      </c>
      <c r="J21" s="3" t="s">
        <v>41</v>
      </c>
    </row>
    <row r="22" spans="1:10" x14ac:dyDescent="0.35">
      <c r="A22" s="2">
        <v>15</v>
      </c>
      <c r="B22" s="3" t="s">
        <v>27</v>
      </c>
      <c r="C22" s="3" t="s">
        <v>11</v>
      </c>
      <c r="D22" s="3" t="s">
        <v>21</v>
      </c>
      <c r="E22" s="3" t="s">
        <v>12</v>
      </c>
      <c r="F22" s="3" t="s">
        <v>39</v>
      </c>
      <c r="G22" s="3" t="s">
        <v>37</v>
      </c>
      <c r="H22" s="3" t="s">
        <v>24</v>
      </c>
      <c r="I22" s="2">
        <v>900</v>
      </c>
      <c r="J22" s="3" t="s">
        <v>36</v>
      </c>
    </row>
    <row r="23" spans="1:10" x14ac:dyDescent="0.35">
      <c r="A23" s="2">
        <v>16</v>
      </c>
      <c r="B23" s="3" t="s">
        <v>10</v>
      </c>
      <c r="C23" s="3" t="s">
        <v>11</v>
      </c>
      <c r="D23" s="3" t="s">
        <v>21</v>
      </c>
      <c r="E23" s="3" t="s">
        <v>12</v>
      </c>
      <c r="F23" s="3" t="s">
        <v>39</v>
      </c>
      <c r="G23" s="3" t="s">
        <v>32</v>
      </c>
      <c r="H23" s="3" t="s">
        <v>24</v>
      </c>
      <c r="I23" s="2">
        <v>4600</v>
      </c>
      <c r="J23" s="3" t="s">
        <v>33</v>
      </c>
    </row>
    <row r="24" spans="1:10" x14ac:dyDescent="0.35">
      <c r="A24" s="2">
        <v>17</v>
      </c>
      <c r="B24" s="3" t="s">
        <v>42</v>
      </c>
      <c r="C24" s="3" t="s">
        <v>43</v>
      </c>
      <c r="D24" s="3" t="s">
        <v>21</v>
      </c>
      <c r="E24" s="3" t="s">
        <v>12</v>
      </c>
      <c r="F24" s="3" t="s">
        <v>44</v>
      </c>
      <c r="G24" s="3" t="s">
        <v>32</v>
      </c>
      <c r="H24" s="3" t="s">
        <v>24</v>
      </c>
      <c r="I24" s="2">
        <v>4423</v>
      </c>
      <c r="J24" s="3" t="s">
        <v>33</v>
      </c>
    </row>
    <row r="25" spans="1:10" x14ac:dyDescent="0.35">
      <c r="A25" s="2">
        <v>22</v>
      </c>
      <c r="B25" s="3" t="s">
        <v>42</v>
      </c>
      <c r="C25" s="3" t="s">
        <v>43</v>
      </c>
      <c r="D25" s="3" t="s">
        <v>21</v>
      </c>
      <c r="E25" s="3" t="s">
        <v>12</v>
      </c>
      <c r="F25" s="3" t="s">
        <v>44</v>
      </c>
      <c r="G25" s="3" t="s">
        <v>37</v>
      </c>
      <c r="H25" s="3" t="s">
        <v>24</v>
      </c>
      <c r="I25" s="2">
        <v>4423</v>
      </c>
      <c r="J25" s="3" t="s">
        <v>36</v>
      </c>
    </row>
    <row r="26" spans="1:10" x14ac:dyDescent="0.35">
      <c r="A26" s="2">
        <v>24</v>
      </c>
      <c r="B26" s="3" t="s">
        <v>29</v>
      </c>
      <c r="C26" s="3" t="s">
        <v>43</v>
      </c>
      <c r="D26" s="3" t="s">
        <v>21</v>
      </c>
      <c r="E26" s="3" t="s">
        <v>12</v>
      </c>
      <c r="F26" s="3" t="s">
        <v>44</v>
      </c>
      <c r="G26" s="3" t="s">
        <v>13</v>
      </c>
      <c r="H26" s="3" t="s">
        <v>24</v>
      </c>
      <c r="I26" s="2">
        <v>4623</v>
      </c>
      <c r="J26" s="3" t="s">
        <v>15</v>
      </c>
    </row>
    <row r="27" spans="1:10" x14ac:dyDescent="0.35">
      <c r="A27" s="2">
        <v>25</v>
      </c>
      <c r="B27" s="3" t="s">
        <v>29</v>
      </c>
      <c r="C27" s="3" t="s">
        <v>43</v>
      </c>
      <c r="D27" s="3" t="s">
        <v>21</v>
      </c>
      <c r="E27" s="3" t="s">
        <v>12</v>
      </c>
      <c r="F27" s="3" t="s">
        <v>44</v>
      </c>
      <c r="G27" s="3" t="s">
        <v>23</v>
      </c>
      <c r="H27" s="3" t="s">
        <v>24</v>
      </c>
      <c r="I27" s="2">
        <v>4623</v>
      </c>
      <c r="J27" s="3" t="s">
        <v>25</v>
      </c>
    </row>
    <row r="28" spans="1:10" x14ac:dyDescent="0.35">
      <c r="A28" s="2">
        <v>114</v>
      </c>
      <c r="B28" s="3" t="s">
        <v>10</v>
      </c>
      <c r="C28" s="3" t="s">
        <v>43</v>
      </c>
      <c r="D28" s="3" t="s">
        <v>21</v>
      </c>
      <c r="E28" s="3" t="s">
        <v>12</v>
      </c>
      <c r="F28" s="3" t="s">
        <v>44</v>
      </c>
      <c r="G28" s="3" t="s">
        <v>18</v>
      </c>
      <c r="H28" s="3" t="s">
        <v>24</v>
      </c>
      <c r="I28" s="2">
        <v>168.76</v>
      </c>
      <c r="J28" s="3" t="s">
        <v>19</v>
      </c>
    </row>
    <row r="29" spans="1:10" x14ac:dyDescent="0.35">
      <c r="A29" s="2">
        <v>115</v>
      </c>
      <c r="B29" s="3" t="s">
        <v>10</v>
      </c>
      <c r="C29" s="3" t="s">
        <v>43</v>
      </c>
      <c r="D29" s="3" t="s">
        <v>21</v>
      </c>
      <c r="E29" s="3" t="s">
        <v>12</v>
      </c>
      <c r="F29" s="3" t="s">
        <v>44</v>
      </c>
      <c r="G29" s="3" t="s">
        <v>18</v>
      </c>
      <c r="H29" s="3" t="s">
        <v>24</v>
      </c>
      <c r="I29" s="2">
        <v>82.89</v>
      </c>
      <c r="J29" s="3" t="s">
        <v>45</v>
      </c>
    </row>
    <row r="30" spans="1:10" x14ac:dyDescent="0.35">
      <c r="A30" s="2">
        <v>116</v>
      </c>
      <c r="B30" s="3" t="s">
        <v>10</v>
      </c>
      <c r="C30" s="3" t="s">
        <v>43</v>
      </c>
      <c r="D30" s="3" t="s">
        <v>21</v>
      </c>
      <c r="E30" s="3" t="s">
        <v>12</v>
      </c>
      <c r="F30" s="3" t="s">
        <v>44</v>
      </c>
      <c r="G30" s="3" t="s">
        <v>18</v>
      </c>
      <c r="H30" s="3" t="s">
        <v>24</v>
      </c>
      <c r="I30" s="2">
        <v>253.92</v>
      </c>
      <c r="J30" s="3" t="s">
        <v>46</v>
      </c>
    </row>
    <row r="31" spans="1:10" x14ac:dyDescent="0.35">
      <c r="A31" s="2">
        <v>117</v>
      </c>
      <c r="B31" s="3" t="s">
        <v>10</v>
      </c>
      <c r="C31" s="3" t="s">
        <v>43</v>
      </c>
      <c r="D31" s="3" t="s">
        <v>21</v>
      </c>
      <c r="E31" s="3" t="s">
        <v>12</v>
      </c>
      <c r="F31" s="3" t="s">
        <v>44</v>
      </c>
      <c r="G31" s="3" t="s">
        <v>18</v>
      </c>
      <c r="H31" s="3" t="s">
        <v>24</v>
      </c>
      <c r="I31" s="2">
        <v>230.83</v>
      </c>
      <c r="J31" s="3" t="s">
        <v>47</v>
      </c>
    </row>
    <row r="32" spans="1:10" x14ac:dyDescent="0.35">
      <c r="A32" s="2">
        <v>118</v>
      </c>
      <c r="B32" s="3" t="s">
        <v>10</v>
      </c>
      <c r="C32" s="3" t="s">
        <v>43</v>
      </c>
      <c r="D32" s="3" t="s">
        <v>21</v>
      </c>
      <c r="E32" s="3" t="s">
        <v>12</v>
      </c>
      <c r="F32" s="3" t="s">
        <v>44</v>
      </c>
      <c r="G32" s="3" t="s">
        <v>18</v>
      </c>
      <c r="H32" s="3" t="s">
        <v>24</v>
      </c>
      <c r="I32" s="2">
        <v>230.83</v>
      </c>
      <c r="J32" s="3" t="s">
        <v>48</v>
      </c>
    </row>
    <row r="33" spans="1:10" x14ac:dyDescent="0.35">
      <c r="A33" s="2">
        <v>119</v>
      </c>
      <c r="B33" s="3" t="s">
        <v>10</v>
      </c>
      <c r="C33" s="3" t="s">
        <v>43</v>
      </c>
      <c r="D33" s="3" t="s">
        <v>21</v>
      </c>
      <c r="E33" s="3" t="s">
        <v>12</v>
      </c>
      <c r="F33" s="3" t="s">
        <v>44</v>
      </c>
      <c r="G33" s="3" t="s">
        <v>18</v>
      </c>
      <c r="H33" s="3" t="s">
        <v>24</v>
      </c>
      <c r="I33" s="2">
        <v>228.27</v>
      </c>
      <c r="J33" s="3" t="s">
        <v>49</v>
      </c>
    </row>
    <row r="34" spans="1:10" x14ac:dyDescent="0.35">
      <c r="A34" s="2">
        <v>120</v>
      </c>
      <c r="B34" s="3" t="s">
        <v>10</v>
      </c>
      <c r="C34" s="3" t="s">
        <v>43</v>
      </c>
      <c r="D34" s="3" t="s">
        <v>21</v>
      </c>
      <c r="E34" s="3" t="s">
        <v>12</v>
      </c>
      <c r="F34" s="3" t="s">
        <v>44</v>
      </c>
      <c r="G34" s="3" t="s">
        <v>18</v>
      </c>
      <c r="H34" s="3" t="s">
        <v>24</v>
      </c>
      <c r="I34" s="2">
        <v>232.12</v>
      </c>
      <c r="J34" s="3" t="s">
        <v>50</v>
      </c>
    </row>
    <row r="35" spans="1:10" x14ac:dyDescent="0.35">
      <c r="A35" s="2">
        <v>121</v>
      </c>
      <c r="B35" s="3" t="s">
        <v>10</v>
      </c>
      <c r="C35" s="3" t="s">
        <v>43</v>
      </c>
      <c r="D35" s="3" t="s">
        <v>21</v>
      </c>
      <c r="E35" s="3" t="s">
        <v>12</v>
      </c>
      <c r="F35" s="3" t="s">
        <v>44</v>
      </c>
      <c r="G35" s="3" t="s">
        <v>18</v>
      </c>
      <c r="H35" s="3" t="s">
        <v>24</v>
      </c>
      <c r="I35" s="2">
        <v>148.26</v>
      </c>
      <c r="J35" s="3" t="s">
        <v>51</v>
      </c>
    </row>
    <row r="36" spans="1:10" x14ac:dyDescent="0.35">
      <c r="A36" s="2">
        <v>122</v>
      </c>
      <c r="B36" s="3" t="s">
        <v>10</v>
      </c>
      <c r="C36" s="3" t="s">
        <v>43</v>
      </c>
      <c r="D36" s="3" t="s">
        <v>21</v>
      </c>
      <c r="E36" s="3" t="s">
        <v>12</v>
      </c>
      <c r="F36" s="3" t="s">
        <v>44</v>
      </c>
      <c r="G36" s="3" t="s">
        <v>18</v>
      </c>
      <c r="H36" s="3" t="s">
        <v>24</v>
      </c>
      <c r="I36" s="2">
        <v>145.94999999999999</v>
      </c>
      <c r="J36" s="3" t="s">
        <v>52</v>
      </c>
    </row>
    <row r="37" spans="1:10" x14ac:dyDescent="0.35">
      <c r="A37" s="2">
        <v>123</v>
      </c>
      <c r="B37" s="3" t="s">
        <v>10</v>
      </c>
      <c r="C37" s="3" t="s">
        <v>43</v>
      </c>
      <c r="D37" s="3" t="s">
        <v>21</v>
      </c>
      <c r="E37" s="3" t="s">
        <v>12</v>
      </c>
      <c r="F37" s="3" t="s">
        <v>44</v>
      </c>
      <c r="G37" s="3" t="s">
        <v>18</v>
      </c>
      <c r="H37" s="3" t="s">
        <v>24</v>
      </c>
      <c r="I37" s="2">
        <v>149.22</v>
      </c>
      <c r="J37" s="3" t="s">
        <v>53</v>
      </c>
    </row>
    <row r="38" spans="1:10" x14ac:dyDescent="0.35">
      <c r="A38" s="2">
        <v>124</v>
      </c>
      <c r="B38" s="3" t="s">
        <v>10</v>
      </c>
      <c r="C38" s="3" t="s">
        <v>43</v>
      </c>
      <c r="D38" s="3" t="s">
        <v>21</v>
      </c>
      <c r="E38" s="3" t="s">
        <v>12</v>
      </c>
      <c r="F38" s="3" t="s">
        <v>44</v>
      </c>
      <c r="G38" s="3" t="s">
        <v>18</v>
      </c>
      <c r="H38" s="3" t="s">
        <v>24</v>
      </c>
      <c r="I38" s="2">
        <v>145.94999999999999</v>
      </c>
      <c r="J38" s="3" t="s">
        <v>54</v>
      </c>
    </row>
    <row r="39" spans="1:10" x14ac:dyDescent="0.35">
      <c r="A39" s="2">
        <v>125</v>
      </c>
      <c r="B39" s="3" t="s">
        <v>10</v>
      </c>
      <c r="C39" s="3" t="s">
        <v>43</v>
      </c>
      <c r="D39" s="3" t="s">
        <v>21</v>
      </c>
      <c r="E39" s="3" t="s">
        <v>12</v>
      </c>
      <c r="F39" s="3" t="s">
        <v>44</v>
      </c>
      <c r="G39" s="3" t="s">
        <v>18</v>
      </c>
      <c r="H39" s="3" t="s">
        <v>24</v>
      </c>
      <c r="I39" s="2">
        <v>145.94999999999999</v>
      </c>
      <c r="J39" s="3" t="s">
        <v>55</v>
      </c>
    </row>
    <row r="40" spans="1:10" x14ac:dyDescent="0.35">
      <c r="A40" s="2">
        <v>126</v>
      </c>
      <c r="B40" s="3" t="s">
        <v>10</v>
      </c>
      <c r="C40" s="3" t="s">
        <v>43</v>
      </c>
      <c r="D40" s="3" t="s">
        <v>21</v>
      </c>
      <c r="E40" s="3" t="s">
        <v>12</v>
      </c>
      <c r="F40" s="3" t="s">
        <v>44</v>
      </c>
      <c r="G40" s="3" t="s">
        <v>18</v>
      </c>
      <c r="H40" s="3" t="s">
        <v>24</v>
      </c>
      <c r="I40" s="2">
        <v>145.01</v>
      </c>
      <c r="J40" s="3" t="s">
        <v>56</v>
      </c>
    </row>
    <row r="41" spans="1:10" x14ac:dyDescent="0.35">
      <c r="A41" s="2">
        <v>127</v>
      </c>
      <c r="B41" s="3" t="s">
        <v>10</v>
      </c>
      <c r="C41" s="3" t="s">
        <v>43</v>
      </c>
      <c r="D41" s="3" t="s">
        <v>21</v>
      </c>
      <c r="E41" s="3" t="s">
        <v>12</v>
      </c>
      <c r="F41" s="3" t="s">
        <v>44</v>
      </c>
      <c r="G41" s="3" t="s">
        <v>18</v>
      </c>
      <c r="H41" s="3" t="s">
        <v>24</v>
      </c>
      <c r="I41" s="2">
        <v>145.83000000000001</v>
      </c>
      <c r="J41" s="3" t="s">
        <v>57</v>
      </c>
    </row>
    <row r="42" spans="1:10" x14ac:dyDescent="0.35">
      <c r="A42" s="2">
        <v>128</v>
      </c>
      <c r="B42" s="3" t="s">
        <v>10</v>
      </c>
      <c r="C42" s="3" t="s">
        <v>43</v>
      </c>
      <c r="D42" s="3" t="s">
        <v>21</v>
      </c>
      <c r="E42" s="3" t="s">
        <v>12</v>
      </c>
      <c r="F42" s="3" t="s">
        <v>44</v>
      </c>
      <c r="G42" s="3" t="s">
        <v>18</v>
      </c>
      <c r="H42" s="3" t="s">
        <v>24</v>
      </c>
      <c r="I42" s="2">
        <v>145.01</v>
      </c>
      <c r="J42" s="3" t="s">
        <v>58</v>
      </c>
    </row>
    <row r="43" spans="1:10" x14ac:dyDescent="0.35">
      <c r="A43" s="2">
        <v>129</v>
      </c>
      <c r="B43" s="3" t="s">
        <v>10</v>
      </c>
      <c r="C43" s="3" t="s">
        <v>43</v>
      </c>
      <c r="D43" s="3" t="s">
        <v>21</v>
      </c>
      <c r="E43" s="3" t="s">
        <v>12</v>
      </c>
      <c r="F43" s="3" t="s">
        <v>44</v>
      </c>
      <c r="G43" s="3" t="s">
        <v>18</v>
      </c>
      <c r="H43" s="3" t="s">
        <v>24</v>
      </c>
      <c r="I43" s="2">
        <v>145.01</v>
      </c>
      <c r="J43" s="3" t="s">
        <v>59</v>
      </c>
    </row>
    <row r="44" spans="1:10" x14ac:dyDescent="0.35">
      <c r="A44" s="2">
        <v>130</v>
      </c>
      <c r="B44" s="3" t="s">
        <v>10</v>
      </c>
      <c r="C44" s="3" t="s">
        <v>43</v>
      </c>
      <c r="D44" s="3" t="s">
        <v>21</v>
      </c>
      <c r="E44" s="3" t="s">
        <v>12</v>
      </c>
      <c r="F44" s="3" t="s">
        <v>44</v>
      </c>
      <c r="G44" s="3" t="s">
        <v>18</v>
      </c>
      <c r="H44" s="3" t="s">
        <v>24</v>
      </c>
      <c r="I44" s="2">
        <v>145.83000000000001</v>
      </c>
      <c r="J44" s="3" t="s">
        <v>60</v>
      </c>
    </row>
    <row r="45" spans="1:10" x14ac:dyDescent="0.35">
      <c r="A45" s="2">
        <v>131</v>
      </c>
      <c r="B45" s="3" t="s">
        <v>10</v>
      </c>
      <c r="C45" s="3" t="s">
        <v>43</v>
      </c>
      <c r="D45" s="3" t="s">
        <v>21</v>
      </c>
      <c r="E45" s="3" t="s">
        <v>12</v>
      </c>
      <c r="F45" s="3" t="s">
        <v>44</v>
      </c>
      <c r="G45" s="3" t="s">
        <v>18</v>
      </c>
      <c r="H45" s="3" t="s">
        <v>24</v>
      </c>
      <c r="I45" s="2">
        <v>145.01</v>
      </c>
      <c r="J45" s="3" t="s">
        <v>61</v>
      </c>
    </row>
    <row r="46" spans="1:10" x14ac:dyDescent="0.35">
      <c r="A46" s="2">
        <v>132</v>
      </c>
      <c r="B46" s="3" t="s">
        <v>10</v>
      </c>
      <c r="C46" s="3" t="s">
        <v>43</v>
      </c>
      <c r="D46" s="3" t="s">
        <v>21</v>
      </c>
      <c r="E46" s="3" t="s">
        <v>12</v>
      </c>
      <c r="F46" s="3" t="s">
        <v>44</v>
      </c>
      <c r="G46" s="3" t="s">
        <v>18</v>
      </c>
      <c r="H46" s="3" t="s">
        <v>24</v>
      </c>
      <c r="I46" s="2">
        <v>145.01</v>
      </c>
      <c r="J46" s="3" t="s">
        <v>62</v>
      </c>
    </row>
    <row r="47" spans="1:10" x14ac:dyDescent="0.35">
      <c r="A47" s="2">
        <v>133</v>
      </c>
      <c r="B47" s="3" t="s">
        <v>10</v>
      </c>
      <c r="C47" s="3" t="s">
        <v>43</v>
      </c>
      <c r="D47" s="3" t="s">
        <v>21</v>
      </c>
      <c r="E47" s="3" t="s">
        <v>12</v>
      </c>
      <c r="F47" s="3" t="s">
        <v>44</v>
      </c>
      <c r="G47" s="3" t="s">
        <v>18</v>
      </c>
      <c r="H47" s="3" t="s">
        <v>24</v>
      </c>
      <c r="I47" s="2">
        <v>145.01</v>
      </c>
      <c r="J47" s="3" t="s">
        <v>63</v>
      </c>
    </row>
    <row r="48" spans="1:10" x14ac:dyDescent="0.35">
      <c r="A48" s="2">
        <v>134</v>
      </c>
      <c r="B48" s="3" t="s">
        <v>10</v>
      </c>
      <c r="C48" s="3" t="s">
        <v>43</v>
      </c>
      <c r="D48" s="3" t="s">
        <v>21</v>
      </c>
      <c r="E48" s="3" t="s">
        <v>12</v>
      </c>
      <c r="F48" s="3" t="s">
        <v>44</v>
      </c>
      <c r="G48" s="3" t="s">
        <v>18</v>
      </c>
      <c r="H48" s="3" t="s">
        <v>24</v>
      </c>
      <c r="I48" s="2">
        <v>146.63999999999999</v>
      </c>
      <c r="J48" s="3" t="s">
        <v>64</v>
      </c>
    </row>
    <row r="49" spans="1:10" x14ac:dyDescent="0.35">
      <c r="A49" s="2">
        <v>135</v>
      </c>
      <c r="B49" s="3" t="s">
        <v>10</v>
      </c>
      <c r="C49" s="3" t="s">
        <v>43</v>
      </c>
      <c r="D49" s="3" t="s">
        <v>21</v>
      </c>
      <c r="E49" s="3" t="s">
        <v>12</v>
      </c>
      <c r="F49" s="3" t="s">
        <v>44</v>
      </c>
      <c r="G49" s="3" t="s">
        <v>18</v>
      </c>
      <c r="H49" s="3" t="s">
        <v>24</v>
      </c>
      <c r="I49" s="2">
        <v>97.76</v>
      </c>
      <c r="J49" s="3" t="s">
        <v>65</v>
      </c>
    </row>
    <row r="50" spans="1:10" x14ac:dyDescent="0.35">
      <c r="A50" s="2">
        <v>136</v>
      </c>
      <c r="B50" s="3" t="s">
        <v>10</v>
      </c>
      <c r="C50" s="3" t="s">
        <v>43</v>
      </c>
      <c r="D50" s="3" t="s">
        <v>21</v>
      </c>
      <c r="E50" s="3" t="s">
        <v>12</v>
      </c>
      <c r="F50" s="3" t="s">
        <v>44</v>
      </c>
      <c r="G50" s="3" t="s">
        <v>18</v>
      </c>
      <c r="H50" s="3" t="s">
        <v>24</v>
      </c>
      <c r="I50" s="2">
        <v>286.26</v>
      </c>
      <c r="J50" s="3" t="s">
        <v>66</v>
      </c>
    </row>
    <row r="51" spans="1:10" x14ac:dyDescent="0.35">
      <c r="A51" s="2">
        <v>137</v>
      </c>
      <c r="B51" s="3" t="s">
        <v>10</v>
      </c>
      <c r="C51" s="3" t="s">
        <v>43</v>
      </c>
      <c r="D51" s="3" t="s">
        <v>21</v>
      </c>
      <c r="E51" s="3" t="s">
        <v>12</v>
      </c>
      <c r="F51" s="3" t="s">
        <v>44</v>
      </c>
      <c r="G51" s="3" t="s">
        <v>18</v>
      </c>
      <c r="H51" s="3" t="s">
        <v>24</v>
      </c>
      <c r="I51" s="2">
        <v>293.86</v>
      </c>
      <c r="J51" s="3" t="s">
        <v>67</v>
      </c>
    </row>
    <row r="52" spans="1:10" x14ac:dyDescent="0.35">
      <c r="A52" s="2">
        <v>138</v>
      </c>
      <c r="B52" s="3" t="s">
        <v>10</v>
      </c>
      <c r="C52" s="3" t="s">
        <v>43</v>
      </c>
      <c r="D52" s="3" t="s">
        <v>21</v>
      </c>
      <c r="E52" s="3" t="s">
        <v>12</v>
      </c>
      <c r="F52" s="3" t="s">
        <v>44</v>
      </c>
      <c r="G52" s="3" t="s">
        <v>18</v>
      </c>
      <c r="H52" s="3" t="s">
        <v>24</v>
      </c>
      <c r="I52" s="2">
        <v>293.86</v>
      </c>
      <c r="J52" s="3" t="s">
        <v>68</v>
      </c>
    </row>
    <row r="53" spans="1:10" x14ac:dyDescent="0.35">
      <c r="A53" s="2">
        <v>139</v>
      </c>
      <c r="B53" s="3" t="s">
        <v>10</v>
      </c>
      <c r="C53" s="3" t="s">
        <v>43</v>
      </c>
      <c r="D53" s="3" t="s">
        <v>21</v>
      </c>
      <c r="E53" s="3" t="s">
        <v>12</v>
      </c>
      <c r="F53" s="3" t="s">
        <v>44</v>
      </c>
      <c r="G53" s="3" t="s">
        <v>18</v>
      </c>
      <c r="H53" s="3" t="s">
        <v>24</v>
      </c>
      <c r="I53" s="2">
        <v>297.63</v>
      </c>
      <c r="J53" s="3" t="s">
        <v>69</v>
      </c>
    </row>
    <row r="54" spans="1:10" x14ac:dyDescent="0.35">
      <c r="A54" s="2">
        <v>140</v>
      </c>
      <c r="B54" s="3" t="s">
        <v>10</v>
      </c>
      <c r="C54" s="3" t="s">
        <v>43</v>
      </c>
      <c r="D54" s="3" t="s">
        <v>21</v>
      </c>
      <c r="E54" s="3" t="s">
        <v>12</v>
      </c>
      <c r="F54" s="3" t="s">
        <v>44</v>
      </c>
      <c r="G54" s="3" t="s">
        <v>18</v>
      </c>
      <c r="H54" s="3" t="s">
        <v>24</v>
      </c>
      <c r="I54" s="2">
        <v>82.58</v>
      </c>
      <c r="J54" s="3" t="s">
        <v>70</v>
      </c>
    </row>
    <row r="55" spans="1:10" x14ac:dyDescent="0.35">
      <c r="A55" s="2">
        <v>141</v>
      </c>
      <c r="B55" s="3" t="s">
        <v>10</v>
      </c>
      <c r="C55" s="3" t="s">
        <v>43</v>
      </c>
      <c r="D55" s="3" t="s">
        <v>21</v>
      </c>
      <c r="E55" s="3" t="s">
        <v>12</v>
      </c>
      <c r="F55" s="3" t="s">
        <v>44</v>
      </c>
      <c r="G55" s="3" t="s">
        <v>18</v>
      </c>
      <c r="H55" s="3" t="s">
        <v>24</v>
      </c>
      <c r="I55" s="2">
        <v>168.76</v>
      </c>
      <c r="J55" s="3" t="s">
        <v>71</v>
      </c>
    </row>
    <row r="56" spans="1:10" x14ac:dyDescent="0.35">
      <c r="A56" s="2">
        <v>18</v>
      </c>
      <c r="B56" s="3" t="s">
        <v>16</v>
      </c>
      <c r="C56" s="3" t="s">
        <v>72</v>
      </c>
      <c r="D56" s="3" t="s">
        <v>21</v>
      </c>
      <c r="E56" s="3" t="s">
        <v>12</v>
      </c>
      <c r="F56" s="3" t="s">
        <v>73</v>
      </c>
      <c r="G56" s="3" t="s">
        <v>23</v>
      </c>
      <c r="H56" s="3" t="s">
        <v>24</v>
      </c>
      <c r="I56" s="2">
        <v>4000</v>
      </c>
      <c r="J56" s="3" t="s">
        <v>25</v>
      </c>
    </row>
    <row r="57" spans="1:10" x14ac:dyDescent="0.35">
      <c r="A57" s="2">
        <v>19</v>
      </c>
      <c r="B57" s="3" t="s">
        <v>16</v>
      </c>
      <c r="C57" s="3" t="s">
        <v>72</v>
      </c>
      <c r="D57" s="3" t="s">
        <v>21</v>
      </c>
      <c r="E57" s="3" t="s">
        <v>12</v>
      </c>
      <c r="F57" s="3" t="s">
        <v>73</v>
      </c>
      <c r="G57" s="3" t="s">
        <v>13</v>
      </c>
      <c r="H57" s="3" t="s">
        <v>24</v>
      </c>
      <c r="I57" s="2">
        <v>4000</v>
      </c>
      <c r="J57" s="3" t="s">
        <v>15</v>
      </c>
    </row>
    <row r="58" spans="1:10" x14ac:dyDescent="0.35">
      <c r="A58" s="2">
        <v>20</v>
      </c>
      <c r="B58" s="3" t="s">
        <v>16</v>
      </c>
      <c r="C58" s="3" t="s">
        <v>11</v>
      </c>
      <c r="D58" s="3" t="s">
        <v>21</v>
      </c>
      <c r="E58" s="3" t="s">
        <v>12</v>
      </c>
      <c r="F58" s="3" t="s">
        <v>73</v>
      </c>
      <c r="G58" s="3" t="s">
        <v>18</v>
      </c>
      <c r="H58" s="3" t="s">
        <v>14</v>
      </c>
      <c r="I58" s="2">
        <v>1000</v>
      </c>
      <c r="J58" s="3" t="s">
        <v>19</v>
      </c>
    </row>
    <row r="59" spans="1:10" x14ac:dyDescent="0.35">
      <c r="A59" s="2">
        <v>104</v>
      </c>
      <c r="B59" s="3" t="s">
        <v>42</v>
      </c>
      <c r="C59" s="3" t="s">
        <v>72</v>
      </c>
      <c r="D59" s="3" t="s">
        <v>21</v>
      </c>
      <c r="E59" s="3" t="s">
        <v>12</v>
      </c>
      <c r="F59" s="3" t="s">
        <v>73</v>
      </c>
      <c r="G59" s="3" t="s">
        <v>13</v>
      </c>
      <c r="H59" s="3" t="s">
        <v>24</v>
      </c>
      <c r="I59" s="2">
        <v>0</v>
      </c>
      <c r="J59" s="3" t="s">
        <v>74</v>
      </c>
    </row>
    <row r="60" spans="1:10" x14ac:dyDescent="0.35">
      <c r="A60" s="2">
        <v>105</v>
      </c>
      <c r="B60" s="3" t="s">
        <v>29</v>
      </c>
      <c r="C60" s="3" t="s">
        <v>72</v>
      </c>
      <c r="D60" s="3" t="s">
        <v>21</v>
      </c>
      <c r="E60" s="3" t="s">
        <v>12</v>
      </c>
      <c r="F60" s="3" t="s">
        <v>73</v>
      </c>
      <c r="G60" s="3" t="s">
        <v>13</v>
      </c>
      <c r="H60" s="3" t="s">
        <v>24</v>
      </c>
      <c r="I60" s="2">
        <v>0</v>
      </c>
      <c r="J60" s="3" t="s">
        <v>75</v>
      </c>
    </row>
    <row r="61" spans="1:10" x14ac:dyDescent="0.35">
      <c r="A61" s="2">
        <v>147</v>
      </c>
      <c r="B61" s="3" t="s">
        <v>10</v>
      </c>
      <c r="C61" s="3" t="s">
        <v>72</v>
      </c>
      <c r="D61" s="3" t="s">
        <v>21</v>
      </c>
      <c r="E61" s="3" t="s">
        <v>12</v>
      </c>
      <c r="F61" s="3" t="s">
        <v>73</v>
      </c>
      <c r="G61" s="3" t="s">
        <v>13</v>
      </c>
      <c r="H61" s="3" t="s">
        <v>24</v>
      </c>
      <c r="I61" s="2">
        <v>0</v>
      </c>
      <c r="J61" s="3" t="s">
        <v>76</v>
      </c>
    </row>
    <row r="62" spans="1:10" x14ac:dyDescent="0.35">
      <c r="A62" s="2">
        <v>26</v>
      </c>
      <c r="B62" s="3" t="s">
        <v>27</v>
      </c>
      <c r="C62" s="3" t="s">
        <v>11</v>
      </c>
      <c r="D62" s="3" t="s">
        <v>21</v>
      </c>
      <c r="E62" s="3" t="s">
        <v>77</v>
      </c>
      <c r="F62" s="3" t="s">
        <v>78</v>
      </c>
      <c r="G62" s="3" t="s">
        <v>13</v>
      </c>
      <c r="H62" s="3" t="s">
        <v>14</v>
      </c>
      <c r="I62" s="2">
        <v>1200</v>
      </c>
      <c r="J62" s="3" t="s">
        <v>15</v>
      </c>
    </row>
    <row r="63" spans="1:10" x14ac:dyDescent="0.35">
      <c r="A63" s="2">
        <v>27</v>
      </c>
      <c r="B63" s="3" t="s">
        <v>42</v>
      </c>
      <c r="C63" s="3" t="s">
        <v>11</v>
      </c>
      <c r="D63" s="3" t="s">
        <v>21</v>
      </c>
      <c r="E63" s="3" t="s">
        <v>77</v>
      </c>
      <c r="F63" s="3" t="s">
        <v>79</v>
      </c>
      <c r="G63" s="3" t="s">
        <v>80</v>
      </c>
      <c r="H63" s="3" t="s">
        <v>24</v>
      </c>
      <c r="I63" s="2">
        <v>800</v>
      </c>
      <c r="J63" s="3" t="s">
        <v>81</v>
      </c>
    </row>
    <row r="64" spans="1:10" x14ac:dyDescent="0.35">
      <c r="A64" s="2">
        <v>28</v>
      </c>
      <c r="B64" s="3" t="s">
        <v>116</v>
      </c>
      <c r="C64" s="3" t="s">
        <v>11</v>
      </c>
      <c r="D64" s="3" t="s">
        <v>21</v>
      </c>
      <c r="E64" s="3" t="s">
        <v>77</v>
      </c>
      <c r="F64" s="3" t="s">
        <v>82</v>
      </c>
      <c r="G64" s="3" t="s">
        <v>18</v>
      </c>
      <c r="H64" s="3" t="s">
        <v>24</v>
      </c>
      <c r="I64" s="2">
        <v>600</v>
      </c>
      <c r="J64" s="3" t="s">
        <v>46</v>
      </c>
    </row>
    <row r="65" spans="1:10" x14ac:dyDescent="0.35">
      <c r="A65" s="2">
        <v>29</v>
      </c>
      <c r="B65" s="3" t="s">
        <v>116</v>
      </c>
      <c r="C65" s="3" t="s">
        <v>11</v>
      </c>
      <c r="D65" s="3" t="s">
        <v>21</v>
      </c>
      <c r="E65" s="3" t="s">
        <v>77</v>
      </c>
      <c r="F65" s="3" t="s">
        <v>82</v>
      </c>
      <c r="G65" s="3" t="s">
        <v>80</v>
      </c>
      <c r="H65" s="3" t="s">
        <v>14</v>
      </c>
      <c r="I65" s="2">
        <v>600</v>
      </c>
      <c r="J65" s="3" t="s">
        <v>26</v>
      </c>
    </row>
    <row r="66" spans="1:10" x14ac:dyDescent="0.35">
      <c r="A66" s="2">
        <v>30</v>
      </c>
      <c r="B66" s="3" t="s">
        <v>116</v>
      </c>
      <c r="C66" s="3" t="s">
        <v>11</v>
      </c>
      <c r="D66" s="3" t="s">
        <v>21</v>
      </c>
      <c r="E66" s="3" t="s">
        <v>77</v>
      </c>
      <c r="F66" s="3" t="s">
        <v>82</v>
      </c>
      <c r="G66" s="3" t="s">
        <v>18</v>
      </c>
      <c r="H66" s="3" t="s">
        <v>24</v>
      </c>
      <c r="I66" s="2">
        <v>600</v>
      </c>
      <c r="J66" s="3" t="s">
        <v>45</v>
      </c>
    </row>
    <row r="67" spans="1:10" x14ac:dyDescent="0.35">
      <c r="A67" s="2">
        <v>32</v>
      </c>
      <c r="B67" s="3" t="s">
        <v>116</v>
      </c>
      <c r="C67" s="3" t="s">
        <v>11</v>
      </c>
      <c r="D67" s="3" t="s">
        <v>21</v>
      </c>
      <c r="E67" s="3" t="s">
        <v>77</v>
      </c>
      <c r="F67" s="3" t="s">
        <v>82</v>
      </c>
      <c r="G67" s="3" t="s">
        <v>32</v>
      </c>
      <c r="H67" s="3" t="s">
        <v>24</v>
      </c>
      <c r="I67" s="2">
        <v>4000</v>
      </c>
      <c r="J67" s="3" t="s">
        <v>33</v>
      </c>
    </row>
    <row r="68" spans="1:10" x14ac:dyDescent="0.35">
      <c r="A68" s="2">
        <v>33</v>
      </c>
      <c r="B68" s="3" t="s">
        <v>116</v>
      </c>
      <c r="C68" s="3" t="s">
        <v>11</v>
      </c>
      <c r="D68" s="3" t="s">
        <v>21</v>
      </c>
      <c r="E68" s="3" t="s">
        <v>77</v>
      </c>
      <c r="F68" s="3" t="s">
        <v>82</v>
      </c>
      <c r="G68" s="3" t="s">
        <v>37</v>
      </c>
      <c r="H68" s="3" t="s">
        <v>24</v>
      </c>
      <c r="I68" s="2">
        <v>1000</v>
      </c>
      <c r="J68" s="3" t="s">
        <v>36</v>
      </c>
    </row>
    <row r="69" spans="1:10" x14ac:dyDescent="0.35">
      <c r="A69" s="2">
        <v>34</v>
      </c>
      <c r="B69" s="3" t="s">
        <v>116</v>
      </c>
      <c r="C69" s="3" t="s">
        <v>83</v>
      </c>
      <c r="D69" s="3" t="s">
        <v>21</v>
      </c>
      <c r="E69" s="3" t="s">
        <v>77</v>
      </c>
      <c r="F69" s="3" t="s">
        <v>82</v>
      </c>
      <c r="G69" s="3" t="s">
        <v>13</v>
      </c>
      <c r="H69" s="3" t="s">
        <v>24</v>
      </c>
      <c r="I69" s="2">
        <v>2000</v>
      </c>
      <c r="J69" s="3" t="s">
        <v>84</v>
      </c>
    </row>
    <row r="70" spans="1:10" x14ac:dyDescent="0.35">
      <c r="A70" s="2">
        <v>35</v>
      </c>
      <c r="B70" s="3" t="s">
        <v>85</v>
      </c>
      <c r="C70" s="3" t="s">
        <v>83</v>
      </c>
      <c r="D70" s="3" t="s">
        <v>21</v>
      </c>
      <c r="E70" s="3" t="s">
        <v>77</v>
      </c>
      <c r="F70" s="3" t="s">
        <v>82</v>
      </c>
      <c r="G70" s="3" t="s">
        <v>18</v>
      </c>
      <c r="H70" s="3" t="s">
        <v>14</v>
      </c>
      <c r="I70" s="2">
        <v>2000</v>
      </c>
      <c r="J70" s="3" t="s">
        <v>19</v>
      </c>
    </row>
    <row r="71" spans="1:10" x14ac:dyDescent="0.35">
      <c r="A71" s="2">
        <v>36</v>
      </c>
      <c r="B71" s="3" t="s">
        <v>116</v>
      </c>
      <c r="C71" s="3" t="s">
        <v>11</v>
      </c>
      <c r="D71" s="3" t="s">
        <v>21</v>
      </c>
      <c r="E71" s="3" t="s">
        <v>77</v>
      </c>
      <c r="F71" s="3" t="s">
        <v>82</v>
      </c>
      <c r="G71" s="3" t="s">
        <v>23</v>
      </c>
      <c r="H71" s="3" t="s">
        <v>14</v>
      </c>
      <c r="I71" s="2">
        <v>200</v>
      </c>
      <c r="J71" s="3" t="s">
        <v>86</v>
      </c>
    </row>
    <row r="72" spans="1:10" x14ac:dyDescent="0.35">
      <c r="A72" s="2">
        <v>37</v>
      </c>
      <c r="B72" s="3" t="s">
        <v>116</v>
      </c>
      <c r="C72" s="3" t="s">
        <v>72</v>
      </c>
      <c r="D72" s="3" t="s">
        <v>21</v>
      </c>
      <c r="E72" s="3" t="s">
        <v>77</v>
      </c>
      <c r="F72" s="3" t="s">
        <v>82</v>
      </c>
      <c r="G72" s="3" t="s">
        <v>87</v>
      </c>
      <c r="H72" s="3" t="s">
        <v>24</v>
      </c>
      <c r="I72" s="2">
        <v>300</v>
      </c>
      <c r="J72" s="3" t="s">
        <v>88</v>
      </c>
    </row>
    <row r="73" spans="1:10" x14ac:dyDescent="0.35">
      <c r="A73" s="2">
        <v>38</v>
      </c>
      <c r="B73" s="3" t="s">
        <v>42</v>
      </c>
      <c r="C73" s="3" t="s">
        <v>72</v>
      </c>
      <c r="D73" s="3" t="s">
        <v>21</v>
      </c>
      <c r="E73" s="3" t="s">
        <v>77</v>
      </c>
      <c r="F73" s="3" t="s">
        <v>82</v>
      </c>
      <c r="G73" s="3" t="s">
        <v>23</v>
      </c>
      <c r="H73" s="3" t="s">
        <v>24</v>
      </c>
      <c r="I73" s="2">
        <v>50</v>
      </c>
      <c r="J73" s="3" t="s">
        <v>89</v>
      </c>
    </row>
    <row r="74" spans="1:10" x14ac:dyDescent="0.35">
      <c r="A74" s="2">
        <v>39</v>
      </c>
      <c r="B74" s="3" t="s">
        <v>90</v>
      </c>
      <c r="C74" s="3" t="s">
        <v>72</v>
      </c>
      <c r="D74" s="3" t="s">
        <v>21</v>
      </c>
      <c r="E74" s="3" t="s">
        <v>77</v>
      </c>
      <c r="F74" s="3" t="s">
        <v>82</v>
      </c>
      <c r="G74" s="3" t="s">
        <v>23</v>
      </c>
      <c r="H74" s="3" t="s">
        <v>24</v>
      </c>
      <c r="I74" s="2">
        <v>50</v>
      </c>
      <c r="J74" s="3" t="s">
        <v>91</v>
      </c>
    </row>
    <row r="75" spans="1:10" x14ac:dyDescent="0.35">
      <c r="A75" s="2">
        <v>40</v>
      </c>
      <c r="B75" s="3" t="s">
        <v>42</v>
      </c>
      <c r="C75" s="3" t="s">
        <v>72</v>
      </c>
      <c r="D75" s="3" t="s">
        <v>21</v>
      </c>
      <c r="E75" s="3" t="s">
        <v>77</v>
      </c>
      <c r="F75" s="3" t="s">
        <v>82</v>
      </c>
      <c r="G75" s="3" t="s">
        <v>13</v>
      </c>
      <c r="H75" s="3" t="s">
        <v>14</v>
      </c>
      <c r="I75" s="2">
        <v>2000</v>
      </c>
      <c r="J75" s="3" t="s">
        <v>15</v>
      </c>
    </row>
    <row r="76" spans="1:10" x14ac:dyDescent="0.35">
      <c r="A76" s="2">
        <v>41</v>
      </c>
      <c r="B76" s="3" t="s">
        <v>42</v>
      </c>
      <c r="C76" s="3" t="s">
        <v>11</v>
      </c>
      <c r="D76" s="3" t="s">
        <v>21</v>
      </c>
      <c r="E76" s="3" t="s">
        <v>77</v>
      </c>
      <c r="F76" s="3" t="s">
        <v>82</v>
      </c>
      <c r="G76" s="3" t="s">
        <v>23</v>
      </c>
      <c r="H76" s="3" t="s">
        <v>24</v>
      </c>
      <c r="I76" s="2">
        <v>300</v>
      </c>
      <c r="J76" s="3" t="s">
        <v>92</v>
      </c>
    </row>
    <row r="77" spans="1:10" x14ac:dyDescent="0.35">
      <c r="A77" s="2">
        <v>42</v>
      </c>
      <c r="B77" s="3" t="s">
        <v>85</v>
      </c>
      <c r="C77" s="3" t="s">
        <v>83</v>
      </c>
      <c r="D77" s="3" t="s">
        <v>21</v>
      </c>
      <c r="E77" s="3" t="s">
        <v>77</v>
      </c>
      <c r="F77" s="3" t="s">
        <v>82</v>
      </c>
      <c r="G77" s="3" t="s">
        <v>18</v>
      </c>
      <c r="H77" s="3" t="s">
        <v>24</v>
      </c>
      <c r="I77" s="2">
        <v>1000</v>
      </c>
      <c r="J77" s="3" t="s">
        <v>47</v>
      </c>
    </row>
    <row r="78" spans="1:10" x14ac:dyDescent="0.35">
      <c r="A78" s="2">
        <v>43</v>
      </c>
      <c r="B78" s="3" t="s">
        <v>42</v>
      </c>
      <c r="C78" s="3" t="s">
        <v>11</v>
      </c>
      <c r="D78" s="3" t="s">
        <v>21</v>
      </c>
      <c r="E78" s="3" t="s">
        <v>77</v>
      </c>
      <c r="F78" s="3" t="s">
        <v>82</v>
      </c>
      <c r="G78" s="3" t="s">
        <v>23</v>
      </c>
      <c r="H78" s="3" t="s">
        <v>14</v>
      </c>
      <c r="I78" s="2">
        <v>600</v>
      </c>
      <c r="J78" s="3" t="s">
        <v>93</v>
      </c>
    </row>
    <row r="79" spans="1:10" x14ac:dyDescent="0.35">
      <c r="A79" s="2">
        <v>44</v>
      </c>
      <c r="B79" s="3" t="s">
        <v>42</v>
      </c>
      <c r="C79" s="3" t="s">
        <v>11</v>
      </c>
      <c r="D79" s="3" t="s">
        <v>21</v>
      </c>
      <c r="E79" s="3" t="s">
        <v>77</v>
      </c>
      <c r="F79" s="3" t="s">
        <v>82</v>
      </c>
      <c r="G79" s="3" t="s">
        <v>23</v>
      </c>
      <c r="H79" s="3" t="s">
        <v>14</v>
      </c>
      <c r="I79" s="2">
        <v>600</v>
      </c>
      <c r="J79" s="3" t="s">
        <v>25</v>
      </c>
    </row>
    <row r="80" spans="1:10" x14ac:dyDescent="0.35">
      <c r="A80" s="2">
        <v>45</v>
      </c>
      <c r="B80" s="3" t="s">
        <v>116</v>
      </c>
      <c r="C80" s="3" t="s">
        <v>72</v>
      </c>
      <c r="D80" s="3" t="s">
        <v>21</v>
      </c>
      <c r="E80" s="3" t="s">
        <v>77</v>
      </c>
      <c r="F80" s="3" t="s">
        <v>82</v>
      </c>
      <c r="G80" s="3" t="s">
        <v>13</v>
      </c>
      <c r="H80" s="3" t="s">
        <v>24</v>
      </c>
      <c r="I80" s="2">
        <v>100</v>
      </c>
      <c r="J80" s="3" t="s">
        <v>94</v>
      </c>
    </row>
    <row r="81" spans="1:10" x14ac:dyDescent="0.35">
      <c r="A81" s="2">
        <v>46</v>
      </c>
      <c r="B81" s="3" t="s">
        <v>116</v>
      </c>
      <c r="C81" s="3" t="s">
        <v>11</v>
      </c>
      <c r="D81" s="3" t="s">
        <v>21</v>
      </c>
      <c r="E81" s="3" t="s">
        <v>77</v>
      </c>
      <c r="F81" s="3" t="s">
        <v>82</v>
      </c>
      <c r="G81" s="3" t="s">
        <v>23</v>
      </c>
      <c r="H81" s="3" t="s">
        <v>14</v>
      </c>
      <c r="I81" s="2">
        <v>100</v>
      </c>
      <c r="J81" s="3" t="s">
        <v>95</v>
      </c>
    </row>
    <row r="82" spans="1:10" x14ac:dyDescent="0.35">
      <c r="A82" s="2">
        <v>47</v>
      </c>
      <c r="B82" s="3" t="s">
        <v>90</v>
      </c>
      <c r="C82" s="3" t="s">
        <v>72</v>
      </c>
      <c r="D82" s="3" t="s">
        <v>21</v>
      </c>
      <c r="E82" s="3" t="s">
        <v>77</v>
      </c>
      <c r="F82" s="3" t="s">
        <v>82</v>
      </c>
      <c r="G82" s="3" t="s">
        <v>23</v>
      </c>
      <c r="H82" s="3" t="s">
        <v>14</v>
      </c>
      <c r="I82" s="2">
        <v>100</v>
      </c>
      <c r="J82" s="3" t="s">
        <v>96</v>
      </c>
    </row>
    <row r="83" spans="1:10" x14ac:dyDescent="0.35">
      <c r="A83" s="2">
        <v>48</v>
      </c>
      <c r="B83" s="3" t="s">
        <v>97</v>
      </c>
      <c r="C83" s="3" t="s">
        <v>72</v>
      </c>
      <c r="D83" s="3" t="s">
        <v>21</v>
      </c>
      <c r="E83" s="3" t="s">
        <v>77</v>
      </c>
      <c r="F83" s="3" t="s">
        <v>82</v>
      </c>
      <c r="G83" s="3" t="s">
        <v>23</v>
      </c>
      <c r="H83" s="3" t="s">
        <v>14</v>
      </c>
      <c r="I83" s="2">
        <v>200</v>
      </c>
      <c r="J83" s="3" t="s">
        <v>98</v>
      </c>
    </row>
    <row r="84" spans="1:10" x14ac:dyDescent="0.35">
      <c r="A84" s="2">
        <v>49</v>
      </c>
      <c r="B84" s="3" t="s">
        <v>42</v>
      </c>
      <c r="C84" s="3" t="s">
        <v>11</v>
      </c>
      <c r="D84" s="3" t="s">
        <v>21</v>
      </c>
      <c r="E84" s="3" t="s">
        <v>77</v>
      </c>
      <c r="F84" s="3" t="s">
        <v>82</v>
      </c>
      <c r="G84" s="3" t="s">
        <v>23</v>
      </c>
      <c r="H84" s="3" t="s">
        <v>24</v>
      </c>
      <c r="I84" s="2">
        <v>300</v>
      </c>
      <c r="J84" s="3" t="s">
        <v>99</v>
      </c>
    </row>
    <row r="85" spans="1:10" x14ac:dyDescent="0.35">
      <c r="A85" s="2">
        <v>142</v>
      </c>
      <c r="B85" s="3" t="s">
        <v>42</v>
      </c>
      <c r="C85" s="3" t="s">
        <v>72</v>
      </c>
      <c r="D85" s="3" t="s">
        <v>21</v>
      </c>
      <c r="E85" s="3" t="s">
        <v>77</v>
      </c>
      <c r="F85" s="3" t="s">
        <v>82</v>
      </c>
      <c r="G85" s="3" t="s">
        <v>13</v>
      </c>
      <c r="H85" s="3" t="s">
        <v>14</v>
      </c>
      <c r="I85" s="2">
        <v>0</v>
      </c>
      <c r="J85" s="3" t="s">
        <v>100</v>
      </c>
    </row>
    <row r="86" spans="1:10" hidden="1" x14ac:dyDescent="0.35">
      <c r="A86" s="2">
        <v>50</v>
      </c>
      <c r="B86" s="3" t="s">
        <v>101</v>
      </c>
      <c r="C86" s="3" t="s">
        <v>11</v>
      </c>
      <c r="D86" s="3" t="s">
        <v>30</v>
      </c>
      <c r="E86" s="3" t="s">
        <v>77</v>
      </c>
      <c r="F86" s="3" t="s">
        <v>102</v>
      </c>
      <c r="G86" s="3" t="s">
        <v>37</v>
      </c>
      <c r="H86" s="3" t="s">
        <v>14</v>
      </c>
      <c r="I86" s="2">
        <v>600</v>
      </c>
      <c r="J86" s="3" t="s">
        <v>38</v>
      </c>
    </row>
    <row r="87" spans="1:10" x14ac:dyDescent="0.35">
      <c r="A87" s="2">
        <v>51</v>
      </c>
      <c r="B87" s="3" t="s">
        <v>27</v>
      </c>
      <c r="C87" s="3" t="s">
        <v>83</v>
      </c>
      <c r="D87" s="3" t="s">
        <v>21</v>
      </c>
      <c r="E87" s="3" t="s">
        <v>77</v>
      </c>
      <c r="F87" s="3" t="s">
        <v>102</v>
      </c>
      <c r="G87" s="3" t="s">
        <v>13</v>
      </c>
      <c r="H87" s="3" t="s">
        <v>14</v>
      </c>
      <c r="I87" s="2">
        <v>397</v>
      </c>
      <c r="J87" s="3" t="s">
        <v>94</v>
      </c>
    </row>
    <row r="88" spans="1:10" x14ac:dyDescent="0.35">
      <c r="A88" s="2">
        <v>52</v>
      </c>
      <c r="B88" s="3" t="s">
        <v>27</v>
      </c>
      <c r="C88" s="3" t="s">
        <v>11</v>
      </c>
      <c r="D88" s="3" t="s">
        <v>21</v>
      </c>
      <c r="E88" s="3" t="s">
        <v>77</v>
      </c>
      <c r="F88" s="3" t="s">
        <v>102</v>
      </c>
      <c r="G88" s="3" t="s">
        <v>13</v>
      </c>
      <c r="H88" s="3" t="s">
        <v>14</v>
      </c>
      <c r="I88" s="2">
        <v>397</v>
      </c>
      <c r="J88" s="3" t="s">
        <v>15</v>
      </c>
    </row>
    <row r="89" spans="1:10" hidden="1" x14ac:dyDescent="0.35">
      <c r="A89" s="2">
        <v>53</v>
      </c>
      <c r="B89" s="3" t="s">
        <v>42</v>
      </c>
      <c r="C89" s="3" t="s">
        <v>11</v>
      </c>
      <c r="D89" s="3" t="s">
        <v>30</v>
      </c>
      <c r="E89" s="3" t="s">
        <v>77</v>
      </c>
      <c r="F89" s="3" t="s">
        <v>102</v>
      </c>
      <c r="G89" s="3" t="s">
        <v>18</v>
      </c>
      <c r="H89" s="3" t="s">
        <v>24</v>
      </c>
      <c r="I89" s="2">
        <v>360</v>
      </c>
      <c r="J89" s="3" t="s">
        <v>52</v>
      </c>
    </row>
    <row r="90" spans="1:10" hidden="1" x14ac:dyDescent="0.35">
      <c r="A90" s="2">
        <v>54</v>
      </c>
      <c r="B90" s="3" t="s">
        <v>42</v>
      </c>
      <c r="C90" s="3" t="s">
        <v>11</v>
      </c>
      <c r="D90" s="3" t="s">
        <v>30</v>
      </c>
      <c r="E90" s="3" t="s">
        <v>77</v>
      </c>
      <c r="F90" s="3" t="s">
        <v>102</v>
      </c>
      <c r="G90" s="3" t="s">
        <v>18</v>
      </c>
      <c r="H90" s="3" t="s">
        <v>24</v>
      </c>
      <c r="I90" s="2">
        <v>900</v>
      </c>
      <c r="J90" s="3" t="s">
        <v>51</v>
      </c>
    </row>
    <row r="91" spans="1:10" x14ac:dyDescent="0.35">
      <c r="A91" s="2">
        <v>55</v>
      </c>
      <c r="B91" s="3" t="s">
        <v>42</v>
      </c>
      <c r="C91" s="3" t="s">
        <v>11</v>
      </c>
      <c r="D91" s="3" t="s">
        <v>21</v>
      </c>
      <c r="E91" s="3" t="s">
        <v>77</v>
      </c>
      <c r="F91" s="3" t="s">
        <v>102</v>
      </c>
      <c r="G91" s="3" t="s">
        <v>18</v>
      </c>
      <c r="H91" s="3" t="s">
        <v>14</v>
      </c>
      <c r="I91" s="2">
        <v>100</v>
      </c>
      <c r="J91" s="3" t="s">
        <v>50</v>
      </c>
    </row>
    <row r="92" spans="1:10" hidden="1" x14ac:dyDescent="0.35">
      <c r="A92" s="2">
        <v>56</v>
      </c>
      <c r="B92" s="3" t="s">
        <v>42</v>
      </c>
      <c r="C92" s="3" t="s">
        <v>11</v>
      </c>
      <c r="D92" s="3" t="s">
        <v>30</v>
      </c>
      <c r="E92" s="3" t="s">
        <v>77</v>
      </c>
      <c r="F92" s="3" t="s">
        <v>102</v>
      </c>
      <c r="G92" s="3" t="s">
        <v>18</v>
      </c>
      <c r="H92" s="3" t="s">
        <v>14</v>
      </c>
      <c r="I92" s="2">
        <v>300</v>
      </c>
      <c r="J92" s="3" t="s">
        <v>49</v>
      </c>
    </row>
    <row r="93" spans="1:10" x14ac:dyDescent="0.35">
      <c r="A93" s="2">
        <v>57</v>
      </c>
      <c r="B93" s="3" t="s">
        <v>103</v>
      </c>
      <c r="C93" s="3" t="s">
        <v>11</v>
      </c>
      <c r="D93" s="3" t="s">
        <v>21</v>
      </c>
      <c r="E93" s="3" t="s">
        <v>77</v>
      </c>
      <c r="F93" s="3" t="s">
        <v>102</v>
      </c>
      <c r="G93" s="3" t="s">
        <v>18</v>
      </c>
      <c r="H93" s="3" t="s">
        <v>14</v>
      </c>
      <c r="I93" s="2">
        <v>400</v>
      </c>
      <c r="J93" s="3" t="s">
        <v>47</v>
      </c>
    </row>
    <row r="94" spans="1:10" x14ac:dyDescent="0.35">
      <c r="A94" s="2">
        <v>58</v>
      </c>
      <c r="B94" s="3" t="s">
        <v>42</v>
      </c>
      <c r="C94" s="3" t="s">
        <v>11</v>
      </c>
      <c r="D94" s="3" t="s">
        <v>21</v>
      </c>
      <c r="E94" s="3" t="s">
        <v>77</v>
      </c>
      <c r="F94" s="3" t="s">
        <v>102</v>
      </c>
      <c r="G94" s="3" t="s">
        <v>18</v>
      </c>
      <c r="H94" s="3" t="s">
        <v>14</v>
      </c>
      <c r="I94" s="2">
        <v>100</v>
      </c>
      <c r="J94" s="3" t="s">
        <v>19</v>
      </c>
    </row>
    <row r="95" spans="1:10" hidden="1" x14ac:dyDescent="0.35">
      <c r="A95" s="2">
        <v>59</v>
      </c>
      <c r="B95" s="3" t="s">
        <v>101</v>
      </c>
      <c r="C95" s="3" t="s">
        <v>11</v>
      </c>
      <c r="D95" s="3" t="s">
        <v>30</v>
      </c>
      <c r="E95" s="3" t="s">
        <v>77</v>
      </c>
      <c r="F95" s="3" t="s">
        <v>102</v>
      </c>
      <c r="G95" s="3" t="s">
        <v>37</v>
      </c>
      <c r="H95" s="3" t="s">
        <v>14</v>
      </c>
      <c r="I95" s="2">
        <v>600</v>
      </c>
      <c r="J95" s="3" t="s">
        <v>36</v>
      </c>
    </row>
    <row r="96" spans="1:10" x14ac:dyDescent="0.35">
      <c r="A96" s="2">
        <v>60</v>
      </c>
      <c r="B96" s="3" t="s">
        <v>27</v>
      </c>
      <c r="C96" s="3" t="s">
        <v>11</v>
      </c>
      <c r="D96" s="3" t="s">
        <v>21</v>
      </c>
      <c r="E96" s="3" t="s">
        <v>77</v>
      </c>
      <c r="F96" s="3" t="s">
        <v>102</v>
      </c>
      <c r="G96" s="3" t="s">
        <v>13</v>
      </c>
      <c r="H96" s="3" t="s">
        <v>14</v>
      </c>
      <c r="I96" s="2">
        <v>382</v>
      </c>
      <c r="J96" s="3" t="s">
        <v>84</v>
      </c>
    </row>
    <row r="97" spans="1:10" x14ac:dyDescent="0.35">
      <c r="A97" s="2">
        <v>61</v>
      </c>
      <c r="B97" s="3" t="s">
        <v>42</v>
      </c>
      <c r="C97" s="3" t="s">
        <v>11</v>
      </c>
      <c r="D97" s="3" t="s">
        <v>21</v>
      </c>
      <c r="E97" s="3" t="s">
        <v>77</v>
      </c>
      <c r="F97" s="3" t="s">
        <v>102</v>
      </c>
      <c r="G97" s="3" t="s">
        <v>18</v>
      </c>
      <c r="H97" s="3" t="s">
        <v>14</v>
      </c>
      <c r="I97" s="2">
        <v>200</v>
      </c>
      <c r="J97" s="3" t="s">
        <v>48</v>
      </c>
    </row>
    <row r="98" spans="1:10" x14ac:dyDescent="0.35">
      <c r="A98" s="2">
        <v>62</v>
      </c>
      <c r="B98" s="3" t="s">
        <v>42</v>
      </c>
      <c r="C98" s="3" t="s">
        <v>11</v>
      </c>
      <c r="D98" s="3" t="s">
        <v>21</v>
      </c>
      <c r="E98" s="3" t="s">
        <v>77</v>
      </c>
      <c r="F98" s="3" t="s">
        <v>102</v>
      </c>
      <c r="G98" s="3" t="s">
        <v>18</v>
      </c>
      <c r="H98" s="3" t="s">
        <v>14</v>
      </c>
      <c r="I98" s="2">
        <v>100</v>
      </c>
      <c r="J98" s="3" t="s">
        <v>45</v>
      </c>
    </row>
    <row r="99" spans="1:10" x14ac:dyDescent="0.35">
      <c r="A99" s="2">
        <v>63</v>
      </c>
      <c r="B99" s="3" t="s">
        <v>42</v>
      </c>
      <c r="C99" s="3" t="s">
        <v>11</v>
      </c>
      <c r="D99" s="3" t="s">
        <v>21</v>
      </c>
      <c r="E99" s="3" t="s">
        <v>77</v>
      </c>
      <c r="F99" s="3" t="s">
        <v>102</v>
      </c>
      <c r="G99" s="3" t="s">
        <v>32</v>
      </c>
      <c r="H99" s="3" t="s">
        <v>24</v>
      </c>
      <c r="I99" s="2">
        <v>1600</v>
      </c>
      <c r="J99" s="3" t="s">
        <v>104</v>
      </c>
    </row>
    <row r="100" spans="1:10" x14ac:dyDescent="0.35">
      <c r="A100" s="2">
        <v>64</v>
      </c>
      <c r="B100" s="3" t="s">
        <v>27</v>
      </c>
      <c r="C100" s="3" t="s">
        <v>11</v>
      </c>
      <c r="D100" s="3" t="s">
        <v>21</v>
      </c>
      <c r="E100" s="3" t="s">
        <v>77</v>
      </c>
      <c r="F100" s="3" t="s">
        <v>102</v>
      </c>
      <c r="G100" s="3" t="s">
        <v>13</v>
      </c>
      <c r="H100" s="3" t="s">
        <v>14</v>
      </c>
      <c r="I100" s="2">
        <v>364</v>
      </c>
      <c r="J100" s="3" t="s">
        <v>105</v>
      </c>
    </row>
    <row r="101" spans="1:10" x14ac:dyDescent="0.35">
      <c r="A101" s="2">
        <v>65</v>
      </c>
      <c r="B101" s="3" t="s">
        <v>106</v>
      </c>
      <c r="C101" s="3" t="s">
        <v>11</v>
      </c>
      <c r="D101" s="3" t="s">
        <v>21</v>
      </c>
      <c r="E101" s="3" t="s">
        <v>77</v>
      </c>
      <c r="F101" s="3" t="s">
        <v>102</v>
      </c>
      <c r="G101" s="3" t="s">
        <v>32</v>
      </c>
      <c r="H101" s="3" t="s">
        <v>14</v>
      </c>
      <c r="I101" s="2">
        <v>800</v>
      </c>
      <c r="J101" s="3" t="s">
        <v>33</v>
      </c>
    </row>
    <row r="102" spans="1:10" hidden="1" x14ac:dyDescent="0.35">
      <c r="A102" s="2">
        <v>66</v>
      </c>
      <c r="B102" s="3" t="s">
        <v>106</v>
      </c>
      <c r="C102" s="3" t="s">
        <v>11</v>
      </c>
      <c r="D102" s="3" t="s">
        <v>30</v>
      </c>
      <c r="E102" s="3" t="s">
        <v>77</v>
      </c>
      <c r="F102" s="3" t="s">
        <v>102</v>
      </c>
      <c r="G102" s="3" t="s">
        <v>32</v>
      </c>
      <c r="H102" s="3" t="s">
        <v>14</v>
      </c>
      <c r="I102" s="2">
        <v>500</v>
      </c>
      <c r="J102" s="3" t="s">
        <v>107</v>
      </c>
    </row>
    <row r="103" spans="1:10" hidden="1" x14ac:dyDescent="0.35">
      <c r="A103" s="2">
        <v>67</v>
      </c>
      <c r="B103" s="3" t="s">
        <v>106</v>
      </c>
      <c r="C103" s="3" t="s">
        <v>11</v>
      </c>
      <c r="D103" s="3" t="s">
        <v>30</v>
      </c>
      <c r="E103" s="3" t="s">
        <v>77</v>
      </c>
      <c r="F103" s="3" t="s">
        <v>102</v>
      </c>
      <c r="G103" s="3" t="s">
        <v>32</v>
      </c>
      <c r="H103" s="3" t="s">
        <v>14</v>
      </c>
      <c r="I103" s="2">
        <v>100</v>
      </c>
      <c r="J103" s="3" t="s">
        <v>108</v>
      </c>
    </row>
    <row r="104" spans="1:10" hidden="1" x14ac:dyDescent="0.35">
      <c r="A104" s="2">
        <v>68</v>
      </c>
      <c r="B104" s="3" t="s">
        <v>106</v>
      </c>
      <c r="C104" s="3" t="s">
        <v>11</v>
      </c>
      <c r="D104" s="3" t="s">
        <v>30</v>
      </c>
      <c r="E104" s="3" t="s">
        <v>77</v>
      </c>
      <c r="F104" s="3" t="s">
        <v>102</v>
      </c>
      <c r="G104" s="3" t="s">
        <v>32</v>
      </c>
      <c r="H104" s="3" t="s">
        <v>14</v>
      </c>
      <c r="I104" s="2">
        <v>100</v>
      </c>
      <c r="J104" s="3" t="s">
        <v>109</v>
      </c>
    </row>
    <row r="105" spans="1:10" x14ac:dyDescent="0.35">
      <c r="A105" s="2">
        <v>69</v>
      </c>
      <c r="B105" s="3" t="s">
        <v>103</v>
      </c>
      <c r="C105" s="3" t="s">
        <v>11</v>
      </c>
      <c r="D105" s="3" t="s">
        <v>21</v>
      </c>
      <c r="E105" s="3" t="s">
        <v>77</v>
      </c>
      <c r="F105" s="3" t="s">
        <v>102</v>
      </c>
      <c r="G105" s="3" t="s">
        <v>18</v>
      </c>
      <c r="H105" s="3" t="s">
        <v>14</v>
      </c>
      <c r="I105" s="2">
        <v>400</v>
      </c>
      <c r="J105" s="3" t="s">
        <v>46</v>
      </c>
    </row>
    <row r="106" spans="1:10" x14ac:dyDescent="0.35">
      <c r="A106" s="2">
        <v>70</v>
      </c>
      <c r="B106" s="3" t="s">
        <v>106</v>
      </c>
      <c r="C106" s="3" t="s">
        <v>11</v>
      </c>
      <c r="D106" s="3" t="s">
        <v>21</v>
      </c>
      <c r="E106" s="3" t="s">
        <v>77</v>
      </c>
      <c r="F106" s="3" t="s">
        <v>102</v>
      </c>
      <c r="G106" s="3" t="s">
        <v>32</v>
      </c>
      <c r="H106" s="3" t="s">
        <v>14</v>
      </c>
      <c r="I106" s="2">
        <v>300</v>
      </c>
      <c r="J106" s="3" t="s">
        <v>110</v>
      </c>
    </row>
    <row r="107" spans="1:10" hidden="1" x14ac:dyDescent="0.35">
      <c r="A107" s="2">
        <v>71</v>
      </c>
      <c r="B107" s="3" t="s">
        <v>27</v>
      </c>
      <c r="C107" s="3" t="s">
        <v>11</v>
      </c>
      <c r="D107" s="3" t="s">
        <v>30</v>
      </c>
      <c r="E107" s="3" t="s">
        <v>77</v>
      </c>
      <c r="F107" s="3" t="s">
        <v>102</v>
      </c>
      <c r="G107" s="3" t="s">
        <v>23</v>
      </c>
      <c r="H107" s="3" t="s">
        <v>24</v>
      </c>
      <c r="I107" s="2">
        <v>900</v>
      </c>
      <c r="J107" s="3" t="s">
        <v>98</v>
      </c>
    </row>
    <row r="108" spans="1:10" x14ac:dyDescent="0.35">
      <c r="A108" s="2">
        <v>72</v>
      </c>
      <c r="B108" s="3" t="s">
        <v>27</v>
      </c>
      <c r="C108" s="3" t="s">
        <v>11</v>
      </c>
      <c r="D108" s="3" t="s">
        <v>21</v>
      </c>
      <c r="E108" s="3" t="s">
        <v>77</v>
      </c>
      <c r="F108" s="3" t="s">
        <v>102</v>
      </c>
      <c r="G108" s="3" t="s">
        <v>13</v>
      </c>
      <c r="H108" s="3" t="s">
        <v>14</v>
      </c>
      <c r="I108" s="2">
        <v>117</v>
      </c>
      <c r="J108" s="3" t="s">
        <v>111</v>
      </c>
    </row>
    <row r="109" spans="1:10" x14ac:dyDescent="0.35">
      <c r="A109" s="2">
        <v>73</v>
      </c>
      <c r="B109" s="3" t="s">
        <v>27</v>
      </c>
      <c r="C109" s="3" t="s">
        <v>11</v>
      </c>
      <c r="D109" s="3" t="s">
        <v>21</v>
      </c>
      <c r="E109" s="3" t="s">
        <v>77</v>
      </c>
      <c r="F109" s="3" t="s">
        <v>102</v>
      </c>
      <c r="G109" s="3" t="s">
        <v>23</v>
      </c>
      <c r="H109" s="3" t="s">
        <v>14</v>
      </c>
      <c r="I109" s="2">
        <v>1300</v>
      </c>
      <c r="J109" s="3" t="s">
        <v>25</v>
      </c>
    </row>
    <row r="110" spans="1:10" hidden="1" x14ac:dyDescent="0.35">
      <c r="A110" s="2">
        <v>74</v>
      </c>
      <c r="B110" s="3" t="s">
        <v>27</v>
      </c>
      <c r="C110" s="3" t="s">
        <v>11</v>
      </c>
      <c r="D110" s="3" t="s">
        <v>30</v>
      </c>
      <c r="E110" s="3" t="s">
        <v>77</v>
      </c>
      <c r="F110" s="3" t="s">
        <v>102</v>
      </c>
      <c r="G110" s="3" t="s">
        <v>13</v>
      </c>
      <c r="H110" s="3" t="s">
        <v>24</v>
      </c>
      <c r="I110" s="2">
        <v>1325</v>
      </c>
      <c r="J110" s="3" t="s">
        <v>112</v>
      </c>
    </row>
    <row r="111" spans="1:10" x14ac:dyDescent="0.35">
      <c r="A111" s="2">
        <v>75</v>
      </c>
      <c r="B111" s="3" t="s">
        <v>101</v>
      </c>
      <c r="C111" s="3" t="s">
        <v>11</v>
      </c>
      <c r="D111" s="3" t="s">
        <v>21</v>
      </c>
      <c r="E111" s="3" t="s">
        <v>77</v>
      </c>
      <c r="F111" s="3" t="s">
        <v>113</v>
      </c>
      <c r="G111" s="3" t="s">
        <v>32</v>
      </c>
      <c r="H111" s="3" t="s">
        <v>14</v>
      </c>
      <c r="I111" s="2">
        <v>2000</v>
      </c>
      <c r="J111" s="3" t="s">
        <v>33</v>
      </c>
    </row>
    <row r="112" spans="1:10" x14ac:dyDescent="0.35">
      <c r="A112" s="2">
        <v>76</v>
      </c>
      <c r="B112" s="3" t="s">
        <v>101</v>
      </c>
      <c r="C112" s="3" t="s">
        <v>11</v>
      </c>
      <c r="D112" s="3" t="s">
        <v>21</v>
      </c>
      <c r="E112" s="3" t="s">
        <v>77</v>
      </c>
      <c r="F112" s="3" t="s">
        <v>113</v>
      </c>
      <c r="G112" s="3" t="s">
        <v>32</v>
      </c>
      <c r="H112" s="3" t="s">
        <v>14</v>
      </c>
      <c r="I112" s="2">
        <v>100</v>
      </c>
      <c r="J112" s="3" t="s">
        <v>107</v>
      </c>
    </row>
    <row r="113" spans="1:10" x14ac:dyDescent="0.35">
      <c r="A113" s="2">
        <v>77</v>
      </c>
      <c r="B113" s="3" t="s">
        <v>27</v>
      </c>
      <c r="C113" s="3" t="s">
        <v>11</v>
      </c>
      <c r="D113" s="3" t="s">
        <v>21</v>
      </c>
      <c r="E113" s="3" t="s">
        <v>77</v>
      </c>
      <c r="F113" s="3" t="s">
        <v>113</v>
      </c>
      <c r="G113" s="3" t="s">
        <v>37</v>
      </c>
      <c r="H113" s="3" t="s">
        <v>14</v>
      </c>
      <c r="I113" s="2">
        <v>200</v>
      </c>
      <c r="J113" s="3" t="s">
        <v>41</v>
      </c>
    </row>
    <row r="114" spans="1:10" x14ac:dyDescent="0.35">
      <c r="A114" s="2">
        <v>78</v>
      </c>
      <c r="B114" s="3" t="s">
        <v>27</v>
      </c>
      <c r="C114" s="3" t="s">
        <v>11</v>
      </c>
      <c r="D114" s="3" t="s">
        <v>21</v>
      </c>
      <c r="E114" s="3" t="s">
        <v>77</v>
      </c>
      <c r="F114" s="3" t="s">
        <v>113</v>
      </c>
      <c r="G114" s="3" t="s">
        <v>37</v>
      </c>
      <c r="H114" s="3" t="s">
        <v>14</v>
      </c>
      <c r="I114" s="2">
        <v>200</v>
      </c>
      <c r="J114" s="3" t="s">
        <v>38</v>
      </c>
    </row>
    <row r="115" spans="1:10" x14ac:dyDescent="0.35">
      <c r="A115" s="2">
        <v>79</v>
      </c>
      <c r="B115" s="3" t="s">
        <v>27</v>
      </c>
      <c r="C115" s="3" t="s">
        <v>11</v>
      </c>
      <c r="D115" s="3" t="s">
        <v>21</v>
      </c>
      <c r="E115" s="3" t="s">
        <v>77</v>
      </c>
      <c r="F115" s="3" t="s">
        <v>113</v>
      </c>
      <c r="G115" s="3" t="s">
        <v>37</v>
      </c>
      <c r="H115" s="3" t="s">
        <v>14</v>
      </c>
      <c r="I115" s="2">
        <v>200</v>
      </c>
      <c r="J115" s="3" t="s">
        <v>36</v>
      </c>
    </row>
    <row r="116" spans="1:10" hidden="1" x14ac:dyDescent="0.35">
      <c r="A116" s="2">
        <v>80</v>
      </c>
      <c r="B116" s="3" t="s">
        <v>27</v>
      </c>
      <c r="C116" s="3" t="s">
        <v>11</v>
      </c>
      <c r="D116" s="3" t="s">
        <v>30</v>
      </c>
      <c r="E116" s="3" t="s">
        <v>77</v>
      </c>
      <c r="F116" s="3" t="s">
        <v>113</v>
      </c>
      <c r="G116" s="3" t="s">
        <v>87</v>
      </c>
      <c r="H116" s="3" t="s">
        <v>14</v>
      </c>
      <c r="I116" s="2">
        <v>600</v>
      </c>
      <c r="J116" s="3" t="s">
        <v>88</v>
      </c>
    </row>
    <row r="117" spans="1:10" x14ac:dyDescent="0.35">
      <c r="A117" s="2">
        <v>154</v>
      </c>
      <c r="B117" s="3" t="s">
        <v>103</v>
      </c>
      <c r="C117" s="3" t="s">
        <v>11</v>
      </c>
      <c r="D117" s="3" t="s">
        <v>21</v>
      </c>
      <c r="E117" s="3" t="s">
        <v>77</v>
      </c>
      <c r="F117" s="3" t="s">
        <v>113</v>
      </c>
      <c r="G117" s="3" t="s">
        <v>18</v>
      </c>
      <c r="H117" s="3" t="s">
        <v>14</v>
      </c>
      <c r="I117" s="2">
        <v>1900</v>
      </c>
      <c r="J117" s="3" t="s">
        <v>36</v>
      </c>
    </row>
    <row r="118" spans="1:10" x14ac:dyDescent="0.35">
      <c r="A118" s="2">
        <v>81</v>
      </c>
      <c r="B118" s="3" t="s">
        <v>29</v>
      </c>
      <c r="C118" s="3" t="s">
        <v>11</v>
      </c>
      <c r="D118" s="3" t="s">
        <v>21</v>
      </c>
      <c r="E118" s="3" t="s">
        <v>114</v>
      </c>
      <c r="F118" s="3" t="s">
        <v>17</v>
      </c>
      <c r="G118" s="3" t="s">
        <v>32</v>
      </c>
      <c r="H118" s="3" t="s">
        <v>24</v>
      </c>
      <c r="I118" s="2">
        <v>4000</v>
      </c>
      <c r="J118" s="3" t="s">
        <v>33</v>
      </c>
    </row>
    <row r="119" spans="1:10" x14ac:dyDescent="0.35">
      <c r="A119" s="2">
        <v>82</v>
      </c>
      <c r="B119" s="3" t="s">
        <v>29</v>
      </c>
      <c r="C119" s="3" t="s">
        <v>11</v>
      </c>
      <c r="D119" s="3" t="s">
        <v>21</v>
      </c>
      <c r="E119" s="3" t="s">
        <v>114</v>
      </c>
      <c r="F119" s="3" t="s">
        <v>17</v>
      </c>
      <c r="G119" s="3" t="s">
        <v>37</v>
      </c>
      <c r="H119" s="3" t="s">
        <v>24</v>
      </c>
      <c r="I119" s="2">
        <v>3400</v>
      </c>
      <c r="J119" s="3" t="s">
        <v>36</v>
      </c>
    </row>
    <row r="120" spans="1:10" hidden="1" x14ac:dyDescent="0.35">
      <c r="A120" s="2">
        <v>83</v>
      </c>
      <c r="B120" s="3" t="s">
        <v>29</v>
      </c>
      <c r="C120" s="3" t="s">
        <v>11</v>
      </c>
      <c r="D120" s="3" t="s">
        <v>30</v>
      </c>
      <c r="E120" s="3" t="s">
        <v>114</v>
      </c>
      <c r="F120" s="3" t="s">
        <v>17</v>
      </c>
      <c r="G120" s="3" t="s">
        <v>37</v>
      </c>
      <c r="H120" s="3" t="s">
        <v>14</v>
      </c>
      <c r="I120" s="2">
        <v>600</v>
      </c>
      <c r="J120" s="3" t="s">
        <v>38</v>
      </c>
    </row>
    <row r="121" spans="1:10" x14ac:dyDescent="0.35">
      <c r="A121" s="2">
        <v>84</v>
      </c>
      <c r="B121" s="3" t="s">
        <v>29</v>
      </c>
      <c r="C121" s="3" t="s">
        <v>11</v>
      </c>
      <c r="D121" s="3" t="s">
        <v>21</v>
      </c>
      <c r="E121" s="3" t="s">
        <v>114</v>
      </c>
      <c r="F121" s="3" t="s">
        <v>17</v>
      </c>
      <c r="G121" s="3" t="s">
        <v>18</v>
      </c>
      <c r="H121" s="3" t="s">
        <v>24</v>
      </c>
      <c r="I121" s="2">
        <v>4000</v>
      </c>
      <c r="J121" s="3" t="s">
        <v>19</v>
      </c>
    </row>
    <row r="122" spans="1:10" x14ac:dyDescent="0.35">
      <c r="A122" s="2">
        <v>85</v>
      </c>
      <c r="B122" s="3" t="s">
        <v>29</v>
      </c>
      <c r="C122" s="3" t="s">
        <v>11</v>
      </c>
      <c r="D122" s="3" t="s">
        <v>21</v>
      </c>
      <c r="E122" s="3" t="s">
        <v>114</v>
      </c>
      <c r="F122" s="3" t="s">
        <v>17</v>
      </c>
      <c r="G122" s="3" t="s">
        <v>13</v>
      </c>
      <c r="H122" s="3" t="s">
        <v>24</v>
      </c>
      <c r="I122" s="2">
        <v>4000</v>
      </c>
      <c r="J122" s="3" t="s">
        <v>15</v>
      </c>
    </row>
    <row r="123" spans="1:10" x14ac:dyDescent="0.35">
      <c r="A123" s="2">
        <v>86</v>
      </c>
      <c r="B123" s="3" t="s">
        <v>29</v>
      </c>
      <c r="C123" s="3" t="s">
        <v>11</v>
      </c>
      <c r="D123" s="3" t="s">
        <v>21</v>
      </c>
      <c r="E123" s="3" t="s">
        <v>114</v>
      </c>
      <c r="F123" s="3" t="s">
        <v>17</v>
      </c>
      <c r="G123" s="3" t="s">
        <v>87</v>
      </c>
      <c r="H123" s="3" t="s">
        <v>24</v>
      </c>
      <c r="I123" s="2">
        <v>600</v>
      </c>
      <c r="J123" s="3" t="s">
        <v>88</v>
      </c>
    </row>
    <row r="124" spans="1:10" x14ac:dyDescent="0.35">
      <c r="A124" s="2">
        <v>87</v>
      </c>
      <c r="B124" s="3" t="s">
        <v>29</v>
      </c>
      <c r="C124" s="3" t="s">
        <v>11</v>
      </c>
      <c r="D124" s="3" t="s">
        <v>21</v>
      </c>
      <c r="E124" s="3" t="s">
        <v>114</v>
      </c>
      <c r="F124" s="3" t="s">
        <v>17</v>
      </c>
      <c r="G124" s="3" t="s">
        <v>87</v>
      </c>
      <c r="H124" s="3" t="s">
        <v>14</v>
      </c>
      <c r="I124" s="2">
        <v>600</v>
      </c>
      <c r="J124" s="3" t="s">
        <v>115</v>
      </c>
    </row>
    <row r="125" spans="1:10" x14ac:dyDescent="0.35">
      <c r="A125" s="2">
        <v>88</v>
      </c>
      <c r="B125" s="3" t="s">
        <v>42</v>
      </c>
      <c r="C125" s="3" t="s">
        <v>11</v>
      </c>
      <c r="D125" s="3" t="s">
        <v>21</v>
      </c>
      <c r="E125" s="3" t="s">
        <v>114</v>
      </c>
      <c r="F125" s="3" t="s">
        <v>82</v>
      </c>
      <c r="G125" s="3" t="s">
        <v>18</v>
      </c>
      <c r="H125" s="3" t="s">
        <v>24</v>
      </c>
      <c r="I125" s="2">
        <v>4000</v>
      </c>
      <c r="J125" s="3" t="s">
        <v>19</v>
      </c>
    </row>
    <row r="126" spans="1:10" x14ac:dyDescent="0.35">
      <c r="A126" s="2">
        <v>89</v>
      </c>
      <c r="B126" s="3" t="s">
        <v>42</v>
      </c>
      <c r="C126" s="3" t="s">
        <v>11</v>
      </c>
      <c r="D126" s="3" t="s">
        <v>21</v>
      </c>
      <c r="E126" s="3" t="s">
        <v>114</v>
      </c>
      <c r="F126" s="3" t="s">
        <v>82</v>
      </c>
      <c r="G126" s="3" t="s">
        <v>13</v>
      </c>
      <c r="H126" s="3" t="s">
        <v>24</v>
      </c>
      <c r="I126" s="2">
        <v>4000</v>
      </c>
      <c r="J126" s="3" t="s">
        <v>15</v>
      </c>
    </row>
  </sheetData>
  <autoFilter ref="A1:J126" xr:uid="{64A2976E-D3CC-4F94-A569-3D39EBD346C5}">
    <filterColumn colId="3">
      <filters>
        <filter val="Work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Pre rented</vt:lpstr>
      <vt:lpstr>Others</vt:lpstr>
      <vt:lpstr>Sheet1 (3)</vt:lpstr>
      <vt:lpstr>Sheet1 (2)</vt:lpstr>
      <vt:lpstr>Sheet3</vt:lpstr>
      <vt:lpstr>Sheet1</vt:lpstr>
      <vt:lpstr>'Pre rented'!_FilterDatabase</vt:lpstr>
      <vt:lpstr>'Sheet1 (2)'!Criteria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Gupta</dc:creator>
  <cp:lastModifiedBy>QM24779</cp:lastModifiedBy>
  <cp:lastPrinted>2024-08-16T07:36:36Z</cp:lastPrinted>
  <dcterms:created xsi:type="dcterms:W3CDTF">2024-07-06T05:57:59Z</dcterms:created>
  <dcterms:modified xsi:type="dcterms:W3CDTF">2026-04-07T18:34:28Z</dcterms:modified>
</cp:coreProperties>
</file>